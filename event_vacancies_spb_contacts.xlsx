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писок" sheetId="2" state="visible" r:id="rId2"/>
    <sheet xmlns:r="http://schemas.openxmlformats.org/officeDocument/2006/relationships" name="Отсеяно" sheetId="3" state="visible" r:id="rId3"/>
  </sheets>
  <definedNames>
    <definedName name="_xlnm._FilterDatabase" localSheetId="1" hidden="1">'Список'!$A$1:$R$116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color rgb="FF7F7F7F"/>
      <sz val="10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F0D9"/>
      </patternFill>
    </fill>
    <fill>
      <patternFill patternType="solid">
        <fgColor rgb="FFE2F0D9"/>
        <bgColor rgb="FFC6EFCE"/>
      </patternFill>
    </fill>
    <fill>
      <patternFill patternType="solid">
        <fgColor rgb="FFFFF2CC"/>
        <bgColor rgb="FFE2F0D9"/>
      </patternFill>
    </fill>
    <fill>
      <patternFill patternType="solid">
        <fgColor rgb="FFFFFFFF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ck">
        <color rgb="FF00B050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9" fillId="3" borderId="2" applyAlignment="1" pivotButton="0" quotePrefix="0" xfId="0">
      <alignment horizontal="general" vertical="top" wrapText="1"/>
    </xf>
    <xf numFmtId="0" fontId="7" fillId="4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10" fillId="5" borderId="2" applyAlignment="1" pivotButton="0" quotePrefix="0" xfId="0">
      <alignment horizontal="general" vertical="top" wrapText="1"/>
    </xf>
    <xf numFmtId="0" fontId="7" fillId="6" borderId="2" applyAlignment="1" pivotButton="0" quotePrefix="0" xfId="0">
      <alignment horizontal="general" vertical="top" wrapText="1"/>
    </xf>
    <xf numFmtId="0" fontId="10" fillId="6" borderId="2" applyAlignment="1" pivotButton="0" quotePrefix="0" xfId="0">
      <alignment horizontal="general" vertical="top" wrapText="1"/>
    </xf>
    <xf numFmtId="0" fontId="11" fillId="7" borderId="2" applyAlignment="1" pivotButton="0" quotePrefix="0" xfId="0">
      <alignment horizontal="general" vertical="top" wrapText="1"/>
    </xf>
    <xf numFmtId="0" fontId="10" fillId="7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9" fillId="3" borderId="2" applyAlignment="1" pivotButton="0" quotePrefix="0" xfId="0">
      <alignment horizontal="general" vertical="top" wrapText="1"/>
    </xf>
    <xf numFmtId="0" fontId="6" fillId="8" borderId="2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7" fillId="4" borderId="2" applyAlignment="1" pivotButton="0" quotePrefix="0" xfId="0">
      <alignment horizontal="general" vertical="top" wrapText="1"/>
    </xf>
    <xf numFmtId="0" fontId="7" fillId="8" borderId="2" applyAlignment="1" pivotButton="0" quotePrefix="0" xfId="0">
      <alignment vertical="top" wrapText="1"/>
    </xf>
    <xf numFmtId="0" fontId="7" fillId="5" borderId="2" applyAlignment="1" pivotButton="0" quotePrefix="0" xfId="0">
      <alignment horizontal="general" vertical="top" wrapText="1"/>
    </xf>
    <xf numFmtId="0" fontId="10" fillId="5" borderId="2" applyAlignment="1" pivotButton="0" quotePrefix="0" xfId="0">
      <alignment horizontal="general" vertical="top" wrapText="1"/>
    </xf>
    <xf numFmtId="0" fontId="7" fillId="6" borderId="2" applyAlignment="1" pivotButton="0" quotePrefix="0" xfId="0">
      <alignment horizontal="general" vertical="top" wrapText="1"/>
    </xf>
    <xf numFmtId="0" fontId="10" fillId="6" borderId="2" applyAlignment="1" pivotButton="0" quotePrefix="0" xfId="0">
      <alignment horizontal="general" vertical="top" wrapText="1"/>
    </xf>
    <xf numFmtId="0" fontId="11" fillId="7" borderId="2" applyAlignment="1" pivotButton="0" quotePrefix="0" xfId="0">
      <alignment horizontal="general" vertical="top" wrapText="1"/>
    </xf>
    <xf numFmtId="0" fontId="10" fillId="7" borderId="2" applyAlignment="1" pivotButton="0" quotePrefix="0" xfId="0">
      <alignment horizontal="general" vertical="top" wrapText="1"/>
    </xf>
    <xf numFmtId="0" fontId="11" fillId="8" borderId="2" applyAlignment="1" pivotButton="0" quotePrefix="0" xfId="0">
      <alignment vertical="top" wrapText="1"/>
    </xf>
    <xf numFmtId="0" fontId="6" fillId="8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2F0D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hh.ru/vacancy/137789524" TargetMode="External" Id="rId1"/><Relationship Type="http://schemas.openxmlformats.org/officeDocument/2006/relationships/hyperlink" Target="https://www.red-media.ru/" TargetMode="External" Id="rId2"/><Relationship Type="http://schemas.openxmlformats.org/officeDocument/2006/relationships/hyperlink" Target="https://hh.ru/vacancy/137752762" TargetMode="External" Id="rId3"/><Relationship Type="http://schemas.openxmlformats.org/officeDocument/2006/relationships/hyperlink" Target="https://www.hotel-aquamarin.ru/" TargetMode="External" Id="rId4"/><Relationship Type="http://schemas.openxmlformats.org/officeDocument/2006/relationships/hyperlink" Target="https://hh.ru/vacancy/138131566" TargetMode="External" Id="rId5"/><Relationship Type="http://schemas.openxmlformats.org/officeDocument/2006/relationships/hyperlink" Target="https://baltgem.ru/" TargetMode="External" Id="rId6"/><Relationship Type="http://schemas.openxmlformats.org/officeDocument/2006/relationships/hyperlink" Target="https://hh.ru/vacancy/137973183" TargetMode="External" Id="rId7"/><Relationship Type="http://schemas.openxmlformats.org/officeDocument/2006/relationships/hyperlink" Target="https://planeta-dobra.life/" TargetMode="External" Id="rId8"/><Relationship Type="http://schemas.openxmlformats.org/officeDocument/2006/relationships/hyperlink" Target="https://hh.ru/vacancy/137407118" TargetMode="External" Id="rId9"/><Relationship Type="http://schemas.openxmlformats.org/officeDocument/2006/relationships/hyperlink" Target="https://hh.ru/vacancy/137648945" TargetMode="External" Id="rId10"/><Relationship Type="http://schemas.openxmlformats.org/officeDocument/2006/relationships/hyperlink" Target="https://rexamed.ru/" TargetMode="External" Id="rId11"/><Relationship Type="http://schemas.openxmlformats.org/officeDocument/2006/relationships/hyperlink" Target="https://hh.ru/vacancy/137764190" TargetMode="External" Id="rId12"/><Relationship Type="http://schemas.openxmlformats.org/officeDocument/2006/relationships/hyperlink" Target="https://stremlenie.club/" TargetMode="External" Id="rId13"/><Relationship Type="http://schemas.openxmlformats.org/officeDocument/2006/relationships/hyperlink" Target="https://hh.ru/vacancy/137214389" TargetMode="External" Id="rId14"/><Relationship Type="http://schemas.openxmlformats.org/officeDocument/2006/relationships/hyperlink" Target="http://www.watermark.ru/" TargetMode="External" Id="rId15"/><Relationship Type="http://schemas.openxmlformats.org/officeDocument/2006/relationships/hyperlink" Target="https://hh.ru/vacancy/137124171" TargetMode="External" Id="rId16"/><Relationship Type="http://schemas.openxmlformats.org/officeDocument/2006/relationships/hyperlink" Target="https://sliceofjoy.ru/" TargetMode="External" Id="rId17"/><Relationship Type="http://schemas.openxmlformats.org/officeDocument/2006/relationships/hyperlink" Target="https://hh.ru/vacancy/137628815" TargetMode="External" Id="rId18"/><Relationship Type="http://schemas.openxmlformats.org/officeDocument/2006/relationships/hyperlink" Target="https://www.dellin.ru/" TargetMode="External" Id="rId19"/><Relationship Type="http://schemas.openxmlformats.org/officeDocument/2006/relationships/hyperlink" Target="https://hh.ru/vacancy/137878159" TargetMode="External" Id="rId20"/><Relationship Type="http://schemas.openxmlformats.org/officeDocument/2006/relationships/hyperlink" Target="https://leninskoeclub.ru/" TargetMode="External" Id="rId21"/><Relationship Type="http://schemas.openxmlformats.org/officeDocument/2006/relationships/hyperlink" Target="https://hh.ru/vacancy/137732623" TargetMode="External" Id="rId22"/><Relationship Type="http://schemas.openxmlformats.org/officeDocument/2006/relationships/hyperlink" Target="https://www.trkraduga.ru/" TargetMode="External" Id="rId23"/><Relationship Type="http://schemas.openxmlformats.org/officeDocument/2006/relationships/hyperlink" Target="https://hh.ru/vacancy/137822005" TargetMode="External" Id="rId24"/><Relationship Type="http://schemas.openxmlformats.org/officeDocument/2006/relationships/hyperlink" Target="https://jagger.live/" TargetMode="External" Id="rId25"/><Relationship Type="http://schemas.openxmlformats.org/officeDocument/2006/relationships/hyperlink" Target="https://hh.ru/vacancy/137344671" TargetMode="External" Id="rId26"/><Relationship Type="http://schemas.openxmlformats.org/officeDocument/2006/relationships/hyperlink" Target="https://hh.ru/vacancy/137725227" TargetMode="External" Id="rId27"/><Relationship Type="http://schemas.openxmlformats.org/officeDocument/2006/relationships/hyperlink" Target="https://hh.ru/vacancy/137599637" TargetMode="External" Id="rId28"/><Relationship Type="http://schemas.openxmlformats.org/officeDocument/2006/relationships/hyperlink" Target="https://nevsky-bears.ru/" TargetMode="External" Id="rId29"/><Relationship Type="http://schemas.openxmlformats.org/officeDocument/2006/relationships/hyperlink" Target="https://hh.ru/vacancy/136925471" TargetMode="External" Id="rId30"/><Relationship Type="http://schemas.openxmlformats.org/officeDocument/2006/relationships/hyperlink" Target="https://magnatmedia.com/" TargetMode="External" Id="rId31"/><Relationship Type="http://schemas.openxmlformats.org/officeDocument/2006/relationships/hyperlink" Target="https://hh.ru/vacancy/136832995" TargetMode="External" Id="rId32"/><Relationship Type="http://schemas.openxmlformats.org/officeDocument/2006/relationships/hyperlink" Target="http://stc-spb.ru/" TargetMode="External" Id="rId33"/><Relationship Type="http://schemas.openxmlformats.org/officeDocument/2006/relationships/hyperlink" Target="https://hh.ru/vacancy/137703166" TargetMode="External" Id="rId34"/><Relationship Type="http://schemas.openxmlformats.org/officeDocument/2006/relationships/hyperlink" Target="http://www.seahomeresort.ru/" TargetMode="External" Id="rId35"/><Relationship Type="http://schemas.openxmlformats.org/officeDocument/2006/relationships/hyperlink" Target="https://hh.ru/vacancy/137877541" TargetMode="External" Id="rId36"/><Relationship Type="http://schemas.openxmlformats.org/officeDocument/2006/relationships/hyperlink" Target="https://vipfish.ru/" TargetMode="External" Id="rId37"/><Relationship Type="http://schemas.openxmlformats.org/officeDocument/2006/relationships/hyperlink" Target="https://hh.ru/vacancy/136715334" TargetMode="External" Id="rId38"/><Relationship Type="http://schemas.openxmlformats.org/officeDocument/2006/relationships/hyperlink" Target="https://oxygen-agency.ru/" TargetMode="External" Id="rId39"/><Relationship Type="http://schemas.openxmlformats.org/officeDocument/2006/relationships/hyperlink" Target="https://hh.ru/vacancy/137512283" TargetMode="External" Id="rId40"/><Relationship Type="http://schemas.openxmlformats.org/officeDocument/2006/relationships/hyperlink" Target="https://www.antrepriza-spb.ru/" TargetMode="External" Id="rId41"/><Relationship Type="http://schemas.openxmlformats.org/officeDocument/2006/relationships/hyperlink" Target="https://zarplata.ru/vacancy/125867439" TargetMode="External" Id="rId42"/><Relationship Type="http://schemas.openxmlformats.org/officeDocument/2006/relationships/hyperlink" Target="https://h.careers/job/7a25ae0d-8a05-4a45-a008-88a864a6dfd2" TargetMode="External" Id="rId43"/><Relationship Type="http://schemas.openxmlformats.org/officeDocument/2006/relationships/hyperlink" Target="https://hh.ru/vacancy/133749565" TargetMode="External" Id="rId44"/><Relationship Type="http://schemas.openxmlformats.org/officeDocument/2006/relationships/hyperlink" Target="https://hh.ru/vacancy/111395239" TargetMode="External" Id="rId45"/><Relationship Type="http://schemas.openxmlformats.org/officeDocument/2006/relationships/hyperlink" Target="https://sankt-peterburg.jobfilter.ru/&#1088;&#1072;&#1073;&#1086;&#1090;&#1072;/&#1082;&#1086;&#1086;&#1088;&#1076;&#1080;&#1085;&#1072;&#1090;&#1086;&#1088;-&#1087;&#1088;&#1086;&#1077;&#1082;&#1090;&#1086;&#1074;" TargetMode="External" Id="rId46"/><Relationship Type="http://schemas.openxmlformats.org/officeDocument/2006/relationships/hyperlink" Target="https://spb.zarplata.ru/vacancies/zakupshik" TargetMode="External" Id="rId47"/><Relationship Type="http://schemas.openxmlformats.org/officeDocument/2006/relationships/hyperlink" Target="https://math-cs.spbu.ru/vakansii/" TargetMode="External" Id="rId48"/><Relationship Type="http://schemas.openxmlformats.org/officeDocument/2006/relationships/hyperlink" Target="https://hh.ru/vacancy/131831550" TargetMode="External" Id="rId49"/><Relationship Type="http://schemas.openxmlformats.org/officeDocument/2006/relationships/hyperlink" Target="https://hh.ru/vacancy/130869449" TargetMode="External" Id="rId50"/><Relationship Type="http://schemas.openxmlformats.org/officeDocument/2006/relationships/hyperlink" Target="https://spb.hh.ru/vacancy/130841133" TargetMode="External" Id="rId51"/><Relationship Type="http://schemas.openxmlformats.org/officeDocument/2006/relationships/hyperlink" Target="https://spb.hh.ru/vacancies/spetsialist-po-upravleniyu-proektami" TargetMode="External" Id="rId52"/><Relationship Type="http://schemas.openxmlformats.org/officeDocument/2006/relationships/hyperlink" Target="https://spb.hh.ru/vacancies/organizator-meropriyatij" TargetMode="External" Id="rId53"/><Relationship Type="http://schemas.openxmlformats.org/officeDocument/2006/relationships/hyperlink" Target="https://spb.hh.ru/vacancies/veduschij-meropriyatij" TargetMode="External" Id="rId54"/><Relationship Type="http://schemas.openxmlformats.org/officeDocument/2006/relationships/hyperlink" Target="https://spb.hh.ru/vacancies/veduschij-meropriyatij" TargetMode="External" Id="rId55"/><Relationship Type="http://schemas.openxmlformats.org/officeDocument/2006/relationships/hyperlink" Target="https://spb.hh.ru/vacancies/organizator-meropriyatij" TargetMode="External" Id="rId56"/><Relationship Type="http://schemas.openxmlformats.org/officeDocument/2006/relationships/hyperlink" Target="https://spb.zarplata.ru/vacancies/organizator-meropriyatij" TargetMode="External" Id="rId57"/><Relationship Type="http://schemas.openxmlformats.org/officeDocument/2006/relationships/hyperlink" Target="https://spb.zarplata.ru/vacancies/organizator-meropriyatij" TargetMode="External" Id="rId58"/><Relationship Type="http://schemas.openxmlformats.org/officeDocument/2006/relationships/hyperlink" Target="https://spb.hh.ru/vacancies/organizator-meropriyatij" TargetMode="External" Id="rId59"/><Relationship Type="http://schemas.openxmlformats.org/officeDocument/2006/relationships/hyperlink" Target="https://spb.hh.ru/vacancies/menedzher_po_organizacii_meropriyatiy" TargetMode="External" Id="rId60"/><Relationship Type="http://schemas.openxmlformats.org/officeDocument/2006/relationships/hyperlink" Target="https://spb.hh.ru/vacancies/project_manager" TargetMode="External" Id="rId61"/><Relationship Type="http://schemas.openxmlformats.org/officeDocument/2006/relationships/hyperlink" Target="https://spb.zarplata.ru/vacancies/menedzher-po-organizatsii-vystavok" TargetMode="External" Id="rId62"/><Relationship Type="http://schemas.openxmlformats.org/officeDocument/2006/relationships/hyperlink" Target="https://spb.zarplata.ru/vacancies" TargetMode="External" Id="rId63"/><Relationship Type="http://schemas.openxmlformats.org/officeDocument/2006/relationships/hyperlink" Target="https://spb.hh.ru/vacancies/veduschij-meropriyatij" TargetMode="External" Id="rId64"/><Relationship Type="http://schemas.openxmlformats.org/officeDocument/2006/relationships/hyperlink" Target="https://sankt-peterburg-region.jobfilter.ru/" TargetMode="External" Id="rId65"/><Relationship Type="http://schemas.openxmlformats.org/officeDocument/2006/relationships/hyperlink" Target="https://sankt-peterburg.gorodrabot.ru/" TargetMode="External" Id="rId66"/><Relationship Type="http://schemas.openxmlformats.org/officeDocument/2006/relationships/hyperlink" Target="https://spb.superjob.ru/vakansii/menedzher-proekta.html" TargetMode="External" Id="rId67"/><Relationship Type="http://schemas.openxmlformats.org/officeDocument/2006/relationships/hyperlink" Target="https://spb.zarplata.ru/vacancies" TargetMode="External" Id="rId68"/><Relationship Type="http://schemas.openxmlformats.org/officeDocument/2006/relationships/hyperlink" Target="https://spb.zarplata.ru/vacancies/menedzher-po-privlecheniyu-partnerov" TargetMode="External" Id="rId69"/><Relationship Type="http://schemas.openxmlformats.org/officeDocument/2006/relationships/hyperlink" Target="https://petroconcert.spb.ru/vac" TargetMode="External" Id="rId70"/><Relationship Type="http://schemas.openxmlformats.org/officeDocument/2006/relationships/hyperlink" Target="https://spb.hh.ru/vacancies/organizator-meropriyatij" TargetMode="External" Id="rId71"/><Relationship Type="http://schemas.openxmlformats.org/officeDocument/2006/relationships/hyperlink" Target="https://spb.hh.ru/vacancies/organizator-meropriyatij" TargetMode="External" Id="rId72"/><Relationship Type="http://schemas.openxmlformats.org/officeDocument/2006/relationships/hyperlink" Target="https://spb.hh.ru/vacancies/organizator-meropriyatij" TargetMode="External" Id="rId73"/><Relationship Type="http://schemas.openxmlformats.org/officeDocument/2006/relationships/hyperlink" Target="https://spb.hh.ru/vacancies/organizator-meropriyatij" TargetMode="External" Id="rId74"/><Relationship Type="http://schemas.openxmlformats.org/officeDocument/2006/relationships/hyperlink" Target="https://spb.hh.ru/vacancies/veduschij-meropriyatij" TargetMode="External" Id="rId75"/><Relationship Type="http://schemas.openxmlformats.org/officeDocument/2006/relationships/hyperlink" Target="https://sankt-peterburg-region.jobfilter.ru/" TargetMode="External" Id="rId76"/><Relationship Type="http://schemas.openxmlformats.org/officeDocument/2006/relationships/hyperlink" Target="https://spb.hh.ru/vacancies/" TargetMode="External" Id="rId77"/><Relationship Type="http://schemas.openxmlformats.org/officeDocument/2006/relationships/hyperlink" Target="https://gderabota.ru/" TargetMode="External" Id="rId78"/><Relationship Type="http://schemas.openxmlformats.org/officeDocument/2006/relationships/hyperlink" Target="https://spb.hh.ru/vacancies/veduschij-meropriyatij" TargetMode="External" Id="rId79"/><Relationship Type="http://schemas.openxmlformats.org/officeDocument/2006/relationships/hyperlink" Target="https://www.domkadrov.ru/" TargetMode="External" Id="rId80"/><Relationship Type="http://schemas.openxmlformats.org/officeDocument/2006/relationships/hyperlink" Target="https://spb.careerist.ru/jobs-menedzher-po-organizatsii-meropriyatiy/" TargetMode="External" Id="rId81"/><Relationship Type="http://schemas.openxmlformats.org/officeDocument/2006/relationships/hyperlink" Target="https://spb.careerist.ru/jobs-menedzher-po-organizatsii-meropriyatiy/" TargetMode="External" Id="rId82"/><Relationship Type="http://schemas.openxmlformats.org/officeDocument/2006/relationships/hyperlink" Target="https://sankt-peterburg-region.jobfilter.ru/" TargetMode="External" Id="rId83"/><Relationship Type="http://schemas.openxmlformats.org/officeDocument/2006/relationships/hyperlink" Target="https://spb.superjob.ru/vakansii/menedzher-event.html" TargetMode="External" Id="rId84"/><Relationship Type="http://schemas.openxmlformats.org/officeDocument/2006/relationships/hyperlink" Target="https://spb.superjob.ru/vakansii/menedzher-event.html" TargetMode="External" Id="rId85"/><Relationship Type="http://schemas.openxmlformats.org/officeDocument/2006/relationships/hyperlink" Target="https://spb.careerist.ru/jobs-event-menedzher/" TargetMode="External" Id="rId86"/><Relationship Type="http://schemas.openxmlformats.org/officeDocument/2006/relationships/hyperlink" Target="https://spb.careerist.ru/jobs-event-menedzher/" TargetMode="External" Id="rId87"/><Relationship Type="http://schemas.openxmlformats.org/officeDocument/2006/relationships/hyperlink" Target="https://spb.hh.ru/vacancies/organizator-meropriyatij" TargetMode="External" Id="rId88"/><Relationship Type="http://schemas.openxmlformats.org/officeDocument/2006/relationships/hyperlink" Target="https://spb.hh.ru/vacancies/organizator-meropriyatij" TargetMode="External" Id="rId89"/><Relationship Type="http://schemas.openxmlformats.org/officeDocument/2006/relationships/hyperlink" Target="https://spb.hh.ru/vacancies/veduschij-meropriyatij" TargetMode="External" Id="rId90"/><Relationship Type="http://schemas.openxmlformats.org/officeDocument/2006/relationships/hyperlink" Target="https://spb.zarplata.ru/vacancies/menedzher-po-organizatsii-vystavok" TargetMode="External" Id="rId91"/><Relationship Type="http://schemas.openxmlformats.org/officeDocument/2006/relationships/hyperlink" Target="https://sankt-peterburg.trud.com/jobs/organizator_vystavok/" TargetMode="External" Id="rId92"/><Relationship Type="http://schemas.openxmlformats.org/officeDocument/2006/relationships/hyperlink" Target="https://ru.indeed.com/" TargetMode="External" Id="rId93"/><Relationship Type="http://schemas.openxmlformats.org/officeDocument/2006/relationships/hyperlink" Target="https://spb.hh.ru/vacancies/menedzher_po_turizm" TargetMode="External" Id="rId94"/><Relationship Type="http://schemas.openxmlformats.org/officeDocument/2006/relationships/hyperlink" Target="https://spb.hh.ru/vacancies/organizator-meropriyatij" TargetMode="External" Id="rId95"/><Relationship Type="http://schemas.openxmlformats.org/officeDocument/2006/relationships/hyperlink" Target="https://spb.hh.ru/employer/11036419" TargetMode="External" Id="rId96"/><Relationship Type="http://schemas.openxmlformats.org/officeDocument/2006/relationships/hyperlink" Target="https://spb.hh.ru/vacancies/organizator-meropriyatij" TargetMode="External" Id="rId97"/><Relationship Type="http://schemas.openxmlformats.org/officeDocument/2006/relationships/hyperlink" Target="https://spb.hh.ru/vacancies/organizator-meropriyatij" TargetMode="External" Id="rId98"/><Relationship Type="http://schemas.openxmlformats.org/officeDocument/2006/relationships/hyperlink" Target="https://spb.hh.ru/vacancies/organizator-meropriyatij" TargetMode="External" Id="rId99"/><Relationship Type="http://schemas.openxmlformats.org/officeDocument/2006/relationships/hyperlink" Target="https://sankt-peterburg.gorodrabot.ru/" TargetMode="External" Id="rId100"/><Relationship Type="http://schemas.openxmlformats.org/officeDocument/2006/relationships/hyperlink" Target="https://spb.hh.ru/vacancies/btl_menedzher/polniy_den" TargetMode="External" Id="rId101"/><Relationship Type="http://schemas.openxmlformats.org/officeDocument/2006/relationships/hyperlink" Target="https://spb.careerist.ru/jobs-koordinator-proektov/" TargetMode="External" Id="rId102"/><Relationship Type="http://schemas.openxmlformats.org/officeDocument/2006/relationships/hyperlink" Target="https://spb.hh.ru/vacancies/production_manager" TargetMode="External" Id="rId103"/><Relationship Type="http://schemas.openxmlformats.org/officeDocument/2006/relationships/hyperlink" Target="https://spb.hh.ru/vacancies/veduschij-meropriyatij" TargetMode="External" Id="rId104"/><Relationship Type="http://schemas.openxmlformats.org/officeDocument/2006/relationships/hyperlink" Target="https://hh.ru/vacancy/138136549" TargetMode="External" Id="rId105"/><Relationship Type="http://schemas.openxmlformats.org/officeDocument/2006/relationships/hyperlink" Target="https://hh.ru/vacancy/137589194" TargetMode="External" Id="rId106"/><Relationship Type="http://schemas.openxmlformats.org/officeDocument/2006/relationships/hyperlink" Target="https://hh.ru/vacancy/137100238" TargetMode="External" Id="rId107"/><Relationship Type="http://schemas.openxmlformats.org/officeDocument/2006/relationships/hyperlink" Target="https://hh.ru/vacancy/137174452" TargetMode="External" Id="rId108"/><Relationship Type="http://schemas.openxmlformats.org/officeDocument/2006/relationships/hyperlink" Target="https://spb.hh.ru/vacancies/veduschij-meropriyatij" TargetMode="External" Id="rId109"/><Relationship Type="http://schemas.openxmlformats.org/officeDocument/2006/relationships/hyperlink" Target="https://spb.hh.ru/vacancies/menedzher_po_organizacii_meropriyatiy" TargetMode="External" Id="rId110"/><Relationship Type="http://schemas.openxmlformats.org/officeDocument/2006/relationships/hyperlink" Target="https://spb.hh.ru/vacancies/menedzher_po_organizacii_meropriyatiy" TargetMode="External" Id="rId111"/><Relationship Type="http://schemas.openxmlformats.org/officeDocument/2006/relationships/hyperlink" Target="https://spb.hh.ru/vacancies/veduschij-meropriyatij" TargetMode="External" Id="rId112"/><Relationship Type="http://schemas.openxmlformats.org/officeDocument/2006/relationships/hyperlink" Target="https://spb.careerist.ru/jobs-menedzher-po-organizatsii-meropriyatiy/" TargetMode="External" Id="rId113"/><Relationship Type="http://schemas.openxmlformats.org/officeDocument/2006/relationships/hyperlink" Target="https://spb.careerist.ru/jobs-project-manager/" TargetMode="External" Id="rId11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2" customWidth="1" style="25" min="1" max="1"/>
    <col width="12" customWidth="1" style="25" min="2" max="2"/>
  </cols>
  <sheetData>
    <row r="1" ht="15.75" customHeight="1" s="26">
      <c r="A1" s="27" t="inlineStr">
        <is>
          <t>Сводка по списку компаний (СПб, event-вакансии 2024–2026)</t>
        </is>
      </c>
    </row>
    <row r="3" ht="15" customHeight="1" s="26">
      <c r="A3" s="28" t="inlineStr">
        <is>
          <t>Приоритет</t>
        </is>
      </c>
      <c r="B3" s="28" t="inlineStr">
        <is>
          <t>Компаний</t>
        </is>
      </c>
    </row>
    <row r="4" ht="15" customHeight="1" s="26">
      <c r="A4" s="29" t="inlineStr">
        <is>
          <t>★ 1 — открыта, проходит</t>
        </is>
      </c>
      <c r="B4" s="30">
        <f>COUNTIF(Список!$B$2:$B$116,"★ 1 — открыта, проходит")</f>
        <v/>
      </c>
    </row>
    <row r="5" ht="15" customHeight="1" s="26">
      <c r="A5" s="31" t="inlineStr">
        <is>
          <t>1б — открыта, ниже порога / проверить</t>
        </is>
      </c>
      <c r="B5" s="32">
        <f>COUNTIF(Список!$B$2:$B$116,"1б — открыта, ниже порога / проверить")</f>
        <v/>
      </c>
    </row>
    <row r="6" ht="15" customHeight="1" s="26">
      <c r="A6" s="33" t="inlineStr">
        <is>
          <t>3 — проходит, вакансия закрыта/не найдена</t>
        </is>
      </c>
      <c r="B6" s="32">
        <f>COUNTIF(Список!$B$2:$B$116,"3 — проходит, вакансия закрыта/не найдена")</f>
        <v/>
      </c>
    </row>
    <row r="7" ht="15" customHeight="1" s="26">
      <c r="A7" s="34" t="inlineStr">
        <is>
          <t>4 — не проверено</t>
        </is>
      </c>
      <c r="B7" s="32">
        <f>COUNTIF(Список!$B$2:$B$116,"4 — не проверено")</f>
        <v/>
      </c>
    </row>
    <row r="8" ht="15" customHeight="1" s="26">
      <c r="A8" s="35" t="inlineStr">
        <is>
          <t>— (отсеяно)</t>
        </is>
      </c>
      <c r="B8" s="32">
        <f>COUNTIF(Список!$B$2:$B$116,"—")</f>
        <v/>
      </c>
    </row>
    <row r="9" ht="15" customHeight="1" s="26">
      <c r="A9" s="32" t="n"/>
      <c r="B9" s="32" t="n"/>
    </row>
    <row r="10" ht="15" customHeight="1" s="26">
      <c r="A10" s="28" t="inlineStr">
        <is>
          <t>Статус проверки</t>
        </is>
      </c>
      <c r="B10" s="28" t="inlineStr">
        <is>
          <t>Компаний</t>
        </is>
      </c>
    </row>
    <row r="11" ht="15" customHeight="1" s="26">
      <c r="A11" s="32" t="inlineStr">
        <is>
          <t>Подтверждено (полный текст)</t>
        </is>
      </c>
      <c r="B11" s="32">
        <f>COUNTIF(Список!$P$2:$P$316,A11)</f>
        <v/>
      </c>
    </row>
    <row r="12" ht="15" customHeight="1" s="26">
      <c r="A12" s="32" t="inlineStr">
        <is>
          <t>Проходит по сниппету</t>
        </is>
      </c>
      <c r="B12" s="32">
        <f>COUNTIF(Список!$P$2:$P$316,A12)</f>
        <v/>
      </c>
    </row>
    <row r="13" ht="15" customHeight="1" s="26">
      <c r="A13" s="32" t="inlineStr">
        <is>
          <t>Не проверено (?)</t>
        </is>
      </c>
      <c r="B13" s="32">
        <f>COUNTIF(Список!$P$2:$P$316,A13)</f>
        <v/>
      </c>
    </row>
    <row r="14" ht="15" customHeight="1" s="26">
      <c r="A14" s="32" t="inlineStr">
        <is>
          <t>Текст скрыт (архив)</t>
        </is>
      </c>
      <c r="B14" s="32">
        <f>COUNTIF(Список!$P$2:$P$316,A14)</f>
        <v/>
      </c>
    </row>
    <row r="15" ht="15" customHeight="1" s="26">
      <c r="A15" s="32" t="inlineStr">
        <is>
          <t>Исходный список: с баллом</t>
        </is>
      </c>
      <c r="B15" s="32">
        <f>COUNTIF(Список!$P$2:$P$316,A15)</f>
        <v/>
      </c>
    </row>
    <row r="16" ht="15" customHeight="1" s="26">
      <c r="A16" s="32" t="inlineStr">
        <is>
          <t>Исходный список: ниже порога / скрыт</t>
        </is>
      </c>
      <c r="B16" s="32">
        <f>COUNTIF(Список!$P$2:$P$316,A16)</f>
        <v/>
      </c>
    </row>
    <row r="17" ht="15" customHeight="1" s="26">
      <c r="A17" s="32" t="inlineStr">
        <is>
          <t>Не прочитано</t>
        </is>
      </c>
      <c r="B17" s="32">
        <f>COUNTIF(Список!$P$2:$P$316,A17)</f>
        <v/>
      </c>
    </row>
    <row r="18" ht="15" customHeight="1" s="26">
      <c r="A18" s="32" t="inlineStr">
        <is>
          <t>Отсеяно после проверки</t>
        </is>
      </c>
      <c r="B18" s="32">
        <f>COUNTIF(Список!$P$2:$P$316,A18)</f>
        <v/>
      </c>
    </row>
    <row r="19" ht="15" customHeight="1" s="26">
      <c r="A19" s="36" t="inlineStr">
        <is>
          <t>Всего в списке</t>
        </is>
      </c>
      <c r="B19" s="36">
        <f>SUM(B11:B18)</f>
        <v/>
      </c>
    </row>
    <row r="20" ht="15" customHeight="1" s="26">
      <c r="A20" s="32" t="n"/>
      <c r="B20" s="32" t="n"/>
    </row>
    <row r="21" ht="60" customHeight="1" s="26">
      <c r="A21" s="37" t="inlineStr">
        <is>
          <t>Приоритет 1 (зелёные строки вверху листа «Список») — вакансия открыта на hh 6.10.2026 и проходит порог; в этих строках заполнены вакансия, ссылка и контакты. «Открыта сейчас = не найдена в каталогах» не значит, что вакансия закрыта: проверялась только первая страница каталогов hh.</t>
        </is>
      </c>
      <c r="B21" s="32" t="n"/>
    </row>
    <row r="22" ht="15" customHeight="1" s="26">
      <c r="A22" s="32" t="n"/>
      <c r="B22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5" min="1" max="1"/>
    <col width="24" customWidth="1" style="25" min="2" max="2"/>
    <col width="32" customWidth="1" style="25" min="3" max="3"/>
    <col width="38" customWidth="1" style="25" min="4" max="4"/>
    <col width="30" customWidth="1" style="25" min="5" max="5"/>
    <col width="32" customWidth="1" style="25" min="6" max="6"/>
    <col width="28" customWidth="1" style="25" min="7" max="7"/>
    <col width="30" customWidth="1" style="25" min="8" max="8"/>
    <col width="28" customWidth="1" style="25" min="9" max="9"/>
    <col width="20" customWidth="1" style="25" min="10" max="10"/>
    <col width="8" customWidth="1" style="25" min="11" max="11"/>
    <col width="20" customWidth="1" style="25" min="12" max="12"/>
    <col width="16" customWidth="1" style="25" min="13" max="13"/>
    <col width="18" customWidth="1" style="25" min="14" max="14"/>
    <col width="11" customWidth="1" style="25" min="15" max="15"/>
    <col width="26" customWidth="1" style="25" min="16" max="16"/>
    <col width="7" customWidth="1" style="25" min="17" max="17"/>
    <col width="36" customWidth="1" style="25" min="18" max="18"/>
    <col width="45" customWidth="1" style="26" min="19" max="19"/>
  </cols>
  <sheetData>
    <row r="1" ht="31.5" customHeight="1" s="26">
      <c r="A1" s="39" t="inlineStr">
        <is>
          <t>№</t>
        </is>
      </c>
      <c r="B1" s="39" t="inlineStr">
        <is>
          <t>Приоритет</t>
        </is>
      </c>
      <c r="C1" s="39" t="inlineStr">
        <is>
          <t>Компания</t>
        </is>
      </c>
      <c r="D1" s="39" t="inlineStr">
        <is>
          <t>Название вакансии</t>
        </is>
      </c>
      <c r="E1" s="39" t="inlineStr">
        <is>
          <t>Ссылка на вакансию</t>
        </is>
      </c>
      <c r="F1" s="39" t="inlineStr">
        <is>
          <t>Почта компании</t>
        </is>
      </c>
      <c r="G1" s="39" t="inlineStr">
        <is>
          <t>Телефон</t>
        </is>
      </c>
      <c r="H1" s="39" t="inlineStr">
        <is>
          <t>Контакты HR</t>
        </is>
      </c>
      <c r="I1" s="39" t="inlineStr">
        <is>
          <t>Сайт компании</t>
        </is>
      </c>
      <c r="J1" s="39" t="inlineStr">
        <is>
          <t>Блоки</t>
        </is>
      </c>
      <c r="K1" s="39" t="inlineStr">
        <is>
          <t>Балл из 7</t>
        </is>
      </c>
      <c r="L1" s="39" t="inlineStr">
        <is>
          <t>Зарплата, опыт</t>
        </is>
      </c>
      <c r="M1" s="39" t="inlineStr">
        <is>
          <t>Оформление</t>
        </is>
      </c>
      <c r="N1" s="39" t="inlineStr">
        <is>
          <t>Открыта сейчас (6.10.2026)</t>
        </is>
      </c>
      <c r="O1" s="39" t="inlineStr">
        <is>
          <t>Уверенность</t>
        </is>
      </c>
      <c r="P1" s="39" t="inlineStr">
        <is>
          <t>Статус проверки</t>
        </is>
      </c>
      <c r="Q1" s="39" t="inlineStr">
        <is>
          <t>Пачка</t>
        </is>
      </c>
      <c r="R1" s="39" t="inlineStr">
        <is>
          <t>Комментарий</t>
        </is>
      </c>
      <c r="S1" s="39" t="inlineStr">
        <is>
          <t>Источник контактов</t>
        </is>
      </c>
    </row>
    <row r="2" ht="35.05" customHeight="1" s="26">
      <c r="A2" s="40" t="n">
        <v>1</v>
      </c>
      <c r="B2" s="41" t="inlineStr">
        <is>
          <t>★ 1 — открыта, проходит</t>
        </is>
      </c>
      <c r="C2" s="41" t="inlineStr">
        <is>
          <t>ГПМ Партнер («ТПО Ред Медиа»)</t>
        </is>
      </c>
      <c r="D2" s="41" t="inlineStr">
        <is>
          <t>Менеджер по PR и event</t>
        </is>
      </c>
      <c r="E2" s="42" t="inlineStr">
        <is>
          <t>https://hh.ru/vacancy/137789524</t>
        </is>
      </c>
      <c r="F2" s="41" t="inlineStr">
        <is>
          <t>info@red-media.ru; pressa@red-media.ru</t>
        </is>
      </c>
      <c r="G2" s="41" t="inlineStr">
        <is>
          <t>+7 (812) 332-29-25 (СПб); +7 (495) 617-95-80</t>
        </is>
      </c>
      <c r="H2" s="41" t="inlineStr">
        <is>
          <t>Отдельных HR-контактов на сайте нет — отклик через hh</t>
        </is>
      </c>
      <c r="I2" s="42" t="inlineStr">
        <is>
          <t>https://www.red-media.ru</t>
        </is>
      </c>
      <c r="J2" s="41" t="inlineStr">
        <is>
          <t>Б1 Б2 Б3 Б4 Б5 Б6 Б7</t>
        </is>
      </c>
      <c r="K2" s="41" t="n">
        <v>7</v>
      </c>
      <c r="L2" s="41" t="inlineStr">
        <is>
          <t>не указана; 3–6 лет</t>
        </is>
      </c>
      <c r="M2" s="41" t="inlineStr">
        <is>
          <t>ТД</t>
        </is>
      </c>
      <c r="N2" s="41" t="inlineStr">
        <is>
          <t>да (hh 137789524)</t>
        </is>
      </c>
      <c r="O2" s="41" t="inlineStr">
        <is>
          <t>высокая</t>
        </is>
      </c>
      <c r="P2" s="41" t="inlineStr">
        <is>
          <t>Подтверждено (полный текст)</t>
        </is>
      </c>
      <c r="Q2" s="41" t="n">
        <v>1</v>
      </c>
      <c r="R2" s="41" t="inlineStr">
        <is>
          <t>Подрядчики, тендеры, сметы, логистика участников, тайминг, документооборот, аналитика</t>
        </is>
      </c>
    </row>
    <row r="3" ht="46.25" customHeight="1" s="26">
      <c r="A3" s="40" t="n">
        <v>2</v>
      </c>
      <c r="B3" s="41" t="inlineStr">
        <is>
          <t>★ 1 — открыта, проходит</t>
        </is>
      </c>
      <c r="C3" s="41" t="inlineStr">
        <is>
          <t>Аквамарин, SPA-отель (загородный)</t>
        </is>
      </c>
      <c r="D3" s="41" t="inlineStr">
        <is>
          <t>Менеджер по маркетингу и мероприятиям</t>
        </is>
      </c>
      <c r="E3" s="42" t="inlineStr">
        <is>
          <t>https://hh.ru/vacancy/137752762</t>
        </is>
      </c>
      <c r="F3" s="41" t="inlineStr">
        <is>
          <t>corporate@hotel-aquamarin.ru (мероприятия); reservation@hotel-aquamarin.ru</t>
        </is>
      </c>
      <c r="G3" s="41" t="inlineStr">
        <is>
          <t>+7 (812) 702-26-12 (мероприятия); +7 (812) 702-26-10</t>
        </is>
      </c>
      <c r="H3" s="41" t="inlineStr">
        <is>
          <t>Отдельных HR-контактов нет — отклик через hh</t>
        </is>
      </c>
      <c r="I3" s="42" t="inlineStr">
        <is>
          <t>https://www.hotel-aquamarin.ru</t>
        </is>
      </c>
      <c r="J3" s="41" t="inlineStr">
        <is>
          <t>Б1 Б3 Б4 Б6 Б7</t>
        </is>
      </c>
      <c r="K3" s="41" t="n">
        <v>5</v>
      </c>
      <c r="L3" s="41" t="inlineStr">
        <is>
          <t>60–80 тыс.; без опыта</t>
        </is>
      </c>
      <c r="M3" s="41" t="inlineStr">
        <is>
          <t>ТД</t>
        </is>
      </c>
      <c r="N3" s="41" t="inlineStr">
        <is>
          <t>да (hh 137752762)</t>
        </is>
      </c>
      <c r="O3" s="41" t="inlineStr">
        <is>
          <t>высокая</t>
        </is>
      </c>
      <c r="P3" s="41" t="inlineStr">
        <is>
          <t>Подтверждено (полный текст)</t>
        </is>
      </c>
      <c r="Q3" s="41" t="n">
        <v>6</v>
      </c>
      <c r="R3" s="41" t="inlineStr">
        <is>
          <t>Сметы и договоры, групповое бронирование, сопровождение мероприятий, подрядчики, отчёты; плюс бронирование и SMM</t>
        </is>
      </c>
    </row>
    <row r="4" ht="35.05" customHeight="1" s="26">
      <c r="A4" s="40" t="n">
        <v>3</v>
      </c>
      <c r="B4" s="41" t="inlineStr">
        <is>
          <t>★ 1 — открыта, проходит</t>
        </is>
      </c>
      <c r="C4" s="41" t="inlineStr">
        <is>
          <t>ТО «Балтийская Жемчужина»</t>
        </is>
      </c>
      <c r="D4" s="41" t="inlineStr">
        <is>
          <t>Менеджер / координатор хореографических проектов</t>
        </is>
      </c>
      <c r="E4" s="42" t="inlineStr">
        <is>
          <t>https://hh.ru/vacancy/138131566</t>
        </is>
      </c>
      <c r="F4" s="41" t="inlineStr">
        <is>
          <t>info@baltgem.ru</t>
        </is>
      </c>
      <c r="G4" s="41" t="inlineStr">
        <is>
          <t>+7 (812) 337-59-00; WhatsApp +7 921 941-66-89</t>
        </is>
      </c>
      <c r="H4" s="41" t="inlineStr">
        <is>
          <t>Отдельных HR-контактов нет — отклик через hh</t>
        </is>
      </c>
      <c r="I4" s="42" t="inlineStr">
        <is>
          <t>https://baltgem.ru</t>
        </is>
      </c>
      <c r="J4" s="41" t="inlineStr">
        <is>
          <t>Б2 Б4 Б6 Б7</t>
        </is>
      </c>
      <c r="K4" s="41" t="n">
        <v>4</v>
      </c>
      <c r="L4" s="41" t="inlineStr">
        <is>
          <t>40–60 тыс. (+премии); без опыта</t>
        </is>
      </c>
      <c r="M4" s="41" t="inlineStr">
        <is>
          <t>ГПХ / самозанятость</t>
        </is>
      </c>
      <c r="N4" s="41" t="inlineStr">
        <is>
          <t>да (hh 138131566)</t>
        </is>
      </c>
      <c r="O4" s="41" t="inlineStr">
        <is>
          <t>высокая</t>
        </is>
      </c>
      <c r="P4" s="41" t="inlineStr">
        <is>
          <t>Подтверждено (полный текст)</t>
        </is>
      </c>
      <c r="Q4" s="41" t="n">
        <v>6</v>
      </c>
      <c r="R4" s="41" t="inlineStr">
        <is>
          <t>Площадки, гостиницы, база участников, заявки, выезды — аналог «Первой Фестивальной»</t>
        </is>
      </c>
    </row>
    <row r="5" ht="35.05" customHeight="1" s="26">
      <c r="A5" s="40" t="n">
        <v>4</v>
      </c>
      <c r="B5" s="41" t="inlineStr">
        <is>
          <t>★ 1 — открыта, проходит</t>
        </is>
      </c>
      <c r="C5" s="41" t="inlineStr">
        <is>
          <t>Благотворительный фонд «Планета Добра»</t>
        </is>
      </c>
      <c r="D5" s="41" t="inlineStr">
        <is>
          <t>Менеджер концертного отдела / организатор мероприятий</t>
        </is>
      </c>
      <c r="E5" s="42" t="inlineStr">
        <is>
          <t>https://hh.ru/vacancy/137973183</t>
        </is>
      </c>
      <c r="F5" s="41" t="inlineStr">
        <is>
          <t>info@planeta-dobra.life; help@planeta-dobra.life</t>
        </is>
      </c>
      <c r="G5" s="41" t="inlineStr">
        <is>
          <t>+7 (812) 409-43-22</t>
        </is>
      </c>
      <c r="H5" s="41" t="inlineStr">
        <is>
          <t>Отдельных HR-контактов нет — отклик через hh</t>
        </is>
      </c>
      <c r="I5" s="42" t="inlineStr">
        <is>
          <t>https://planeta-dobra.life</t>
        </is>
      </c>
      <c r="J5" s="41" t="inlineStr">
        <is>
          <t>Б1 Б2 Б3</t>
        </is>
      </c>
      <c r="K5" s="41" t="n">
        <v>3</v>
      </c>
      <c r="L5" s="41" t="inlineStr">
        <is>
          <t>30–50 тыс. + % от проектов; без опыта</t>
        </is>
      </c>
      <c r="M5" s="41" t="inlineStr">
        <is>
          <t>ТД / ГПХ</t>
        </is>
      </c>
      <c r="N5" s="41" t="inlineStr">
        <is>
          <t>да (hh 137973183)</t>
        </is>
      </c>
      <c r="O5" s="41" t="inlineStr">
        <is>
          <t>высокая</t>
        </is>
      </c>
      <c r="P5" s="41" t="inlineStr">
        <is>
          <t>Подтверждено (полный текст)</t>
        </is>
      </c>
      <c r="Q5" s="41" t="n">
        <v>6</v>
      </c>
      <c r="R5" s="41" t="inlineStr">
        <is>
          <t>Площадки, артисты, райдеры и финобязательства; рейтинг работодателя 1.3 — проверить</t>
        </is>
      </c>
    </row>
    <row r="6" ht="35.05" customHeight="1" s="26">
      <c r="A6" s="40" t="n">
        <v>5</v>
      </c>
      <c r="B6" s="41" t="inlineStr">
        <is>
          <t>★ 1 — открыта, проходит</t>
        </is>
      </c>
      <c r="C6" s="41" t="inlineStr">
        <is>
          <t>Бизнес-Элит</t>
        </is>
      </c>
      <c r="D6" s="41" t="inlineStr">
        <is>
          <t>Специалист по подготовке и организации конгрессно-выставочных мероприятий</t>
        </is>
      </c>
      <c r="E6" s="42" t="inlineStr">
        <is>
          <t>https://hh.ru/vacancy/137407118</t>
        </is>
      </c>
      <c r="F6" s="43" t="inlineStr">
        <is>
          <t>chemova@hc.spb.ru</t>
        </is>
      </c>
      <c r="G6" s="43" t="inlineStr">
        <is>
          <t>не найден</t>
        </is>
      </c>
      <c r="H6" s="41" t="inlineStr">
        <is>
          <t>Отклик через hh (работодатель 762116)</t>
        </is>
      </c>
      <c r="I6" s="43" t="inlineStr">
        <is>
          <t>global-port.ru (бренд Conference Point)</t>
        </is>
      </c>
      <c r="J6" s="41" t="n"/>
      <c r="K6" s="41" t="n"/>
      <c r="L6" s="41" t="n"/>
      <c r="M6" s="41" t="n"/>
      <c r="N6" s="41" t="inlineStr">
        <is>
          <t>да (hh 137407118)</t>
        </is>
      </c>
      <c r="O6" s="41" t="n"/>
      <c r="P6" s="41" t="inlineStr">
        <is>
          <t>Исходный список: с баллом</t>
        </is>
      </c>
      <c r="Q6" s="41" t="inlineStr">
        <is>
          <t>исх.</t>
        </is>
      </c>
      <c r="R6" s="41" t="n"/>
      <c r="S6" s="44" t="inlineStr">
        <is>
          <t>https://spark-interfax.ru/sankt-peterburg-moskovski/ooo-biznes-elit-inn-7807337206-ogrn-1089847296879-bfee1c3aa6e44bddadb9bdae24bb7a59</t>
        </is>
      </c>
    </row>
    <row r="7" ht="23.85" customHeight="1" s="26">
      <c r="A7" s="40" t="n">
        <v>6</v>
      </c>
      <c r="B7" s="41" t="inlineStr">
        <is>
          <t>★ 1 — открыта, проходит</t>
        </is>
      </c>
      <c r="C7" s="41" t="inlineStr">
        <is>
          <t>Хелси Ворлд</t>
        </is>
      </c>
      <c r="D7" s="41" t="inlineStr">
        <is>
          <t>Event-менеджер</t>
        </is>
      </c>
      <c r="E7" s="42" t="inlineStr">
        <is>
          <t>https://hh.ru/vacancy/137648945</t>
        </is>
      </c>
      <c r="F7" s="41" t="inlineStr">
        <is>
          <t>info@rexamed.ru</t>
        </is>
      </c>
      <c r="G7" s="41" t="inlineStr">
        <is>
          <t>+7 (812) 385-74-01; 8 800 775-62-17</t>
        </is>
      </c>
      <c r="H7" s="41" t="inlineStr">
        <is>
          <t>Форма «Стать частью команды» на сайте</t>
        </is>
      </c>
      <c r="I7" s="42" t="inlineStr">
        <is>
          <t>https://rexamed.ru (бренд REXAMED)</t>
        </is>
      </c>
      <c r="J7" s="41" t="n"/>
      <c r="K7" s="41" t="n"/>
      <c r="L7" s="41" t="n"/>
      <c r="M7" s="41" t="n"/>
      <c r="N7" s="41" t="inlineStr">
        <is>
          <t>да (hh 137648945)</t>
        </is>
      </c>
      <c r="O7" s="41" t="n"/>
      <c r="P7" s="41" t="inlineStr">
        <is>
          <t>Исходный список: с баллом</t>
        </is>
      </c>
      <c r="Q7" s="41" t="inlineStr">
        <is>
          <t>исх.</t>
        </is>
      </c>
      <c r="R7" s="41" t="n"/>
    </row>
    <row r="8" ht="23.85" customHeight="1" s="26">
      <c r="A8" s="40" t="n">
        <v>7</v>
      </c>
      <c r="B8" s="41" t="inlineStr">
        <is>
          <t>★ 1 — открыта, проходит</t>
        </is>
      </c>
      <c r="C8" s="41" t="inlineStr">
        <is>
          <t>БК «Стремление»</t>
        </is>
      </c>
      <c r="D8" s="41" t="inlineStr">
        <is>
          <t>Менеджер соревнований и лагерей</t>
        </is>
      </c>
      <c r="E8" s="42" t="inlineStr">
        <is>
          <t>https://hh.ru/vacancy/137764190</t>
        </is>
      </c>
      <c r="F8" s="41" t="inlineStr">
        <is>
          <t>info@stremlenie.club</t>
        </is>
      </c>
      <c r="G8" s="41" t="inlineStr">
        <is>
          <t>8 800 500-62-55; +7 901 706-28-43 (сообщения)</t>
        </is>
      </c>
      <c r="H8" s="41" t="inlineStr">
        <is>
          <t>Telegram @STRMclub</t>
        </is>
      </c>
      <c r="I8" s="42" t="inlineStr">
        <is>
          <t>https://stremlenie.club</t>
        </is>
      </c>
      <c r="J8" s="41" t="n"/>
      <c r="K8" s="41" t="n"/>
      <c r="L8" s="41" t="n"/>
      <c r="M8" s="41" t="n"/>
      <c r="N8" s="41" t="inlineStr">
        <is>
          <t>да (hh 137764190)</t>
        </is>
      </c>
      <c r="O8" s="41" t="n"/>
      <c r="P8" s="41" t="inlineStr">
        <is>
          <t>Исходный список: с баллом</t>
        </is>
      </c>
      <c r="Q8" s="41" t="inlineStr">
        <is>
          <t>исх.</t>
        </is>
      </c>
      <c r="R8" s="41" t="n"/>
    </row>
    <row r="9" ht="23.85" customHeight="1" s="26">
      <c r="A9" s="40" t="n">
        <v>8</v>
      </c>
      <c r="B9" s="41" t="inlineStr">
        <is>
          <t>★ 1 — открыта, проходит</t>
        </is>
      </c>
      <c r="C9" s="41" t="inlineStr">
        <is>
          <t>ИД «Уотер Марк»</t>
        </is>
      </c>
      <c r="D9" s="41" t="inlineStr">
        <is>
          <t>Менеджер по организации выставки</t>
        </is>
      </c>
      <c r="E9" s="42" t="inlineStr">
        <is>
          <t>https://hh.ru/vacancy/137214389</t>
        </is>
      </c>
      <c r="F9" s="41" t="inlineStr">
        <is>
          <t>info@watermark.ru</t>
        </is>
      </c>
      <c r="G9" s="41" t="inlineStr">
        <is>
          <t>+7 (812) 346-50-15; +7 (812) 325-20-99</t>
        </is>
      </c>
      <c r="H9" s="41" t="inlineStr">
        <is>
          <t>Отклик через hh (работодатель 2565855)</t>
        </is>
      </c>
      <c r="I9" s="42" t="inlineStr">
        <is>
          <t>http://www.watermark.ru</t>
        </is>
      </c>
      <c r="J9" s="41" t="n"/>
      <c r="K9" s="41" t="n"/>
      <c r="L9" s="41" t="n"/>
      <c r="M9" s="41" t="n"/>
      <c r="N9" s="41" t="inlineStr">
        <is>
          <t>да (hh 137214389)</t>
        </is>
      </c>
      <c r="O9" s="41" t="n"/>
      <c r="P9" s="41" t="inlineStr">
        <is>
          <t>Исходный список: с баллом</t>
        </is>
      </c>
      <c r="Q9" s="41" t="inlineStr">
        <is>
          <t>исх.</t>
        </is>
      </c>
      <c r="R9" s="41" t="n"/>
    </row>
    <row r="10" ht="23.85" customHeight="1" s="26">
      <c r="A10" s="40" t="n">
        <v>9</v>
      </c>
      <c r="B10" s="41" t="inlineStr">
        <is>
          <t>★ 1 — открыта, проходит</t>
        </is>
      </c>
      <c r="C10" s="41" t="inlineStr">
        <is>
          <t>СОДЖ (Slice of Joy)</t>
        </is>
      </c>
      <c r="D10" s="41" t="inlineStr">
        <is>
          <t>Event-менеджер</t>
        </is>
      </c>
      <c r="E10" s="42" t="inlineStr">
        <is>
          <t>https://hh.ru/vacancy/137124171</t>
        </is>
      </c>
      <c r="F10" s="41" t="inlineStr">
        <is>
          <t>media@sliceofjoy.ru; pr@sliceofjoy.ru</t>
        </is>
      </c>
      <c r="G10" s="41" t="inlineStr">
        <is>
          <t>+7 (812) 605-87-47; +7 (812) 214-10-14</t>
        </is>
      </c>
      <c r="H10" s="41" t="inlineStr">
        <is>
          <t>hr@sliceofjoy.ru</t>
        </is>
      </c>
      <c r="I10" s="42" t="inlineStr">
        <is>
          <t>https://sliceofjoy.ru</t>
        </is>
      </c>
      <c r="J10" s="41" t="n"/>
      <c r="K10" s="41" t="n"/>
      <c r="L10" s="41" t="n"/>
      <c r="M10" s="41" t="n"/>
      <c r="N10" s="41" t="inlineStr">
        <is>
          <t>да (hh 137124171)</t>
        </is>
      </c>
      <c r="O10" s="41" t="n"/>
      <c r="P10" s="41" t="inlineStr">
        <is>
          <t>Исходный список: с баллом</t>
        </is>
      </c>
      <c r="Q10" s="41" t="inlineStr">
        <is>
          <t>исх.</t>
        </is>
      </c>
      <c r="R10" s="41" t="n"/>
    </row>
    <row r="11" ht="23.85" customHeight="1" s="26">
      <c r="A11" s="40" t="n">
        <v>10</v>
      </c>
      <c r="B11" s="41" t="inlineStr">
        <is>
          <t>★ 1 — открыта, проходит</t>
        </is>
      </c>
      <c r="C11" s="41" t="inlineStr">
        <is>
          <t>Деловые Линии</t>
        </is>
      </c>
      <c r="D11" s="41" t="inlineStr">
        <is>
          <t>Ведущий менеджер по организации мероприятий</t>
        </is>
      </c>
      <c r="E11" s="42" t="inlineStr">
        <is>
          <t>https://hh.ru/vacancy/137628815</t>
        </is>
      </c>
      <c r="F11" s="41" t="inlineStr">
        <is>
          <t>—</t>
        </is>
      </c>
      <c r="G11" s="41" t="inlineStr">
        <is>
          <t>8 800 100-80-00 (общий)</t>
        </is>
      </c>
      <c r="H11" s="41" t="inlineStr">
        <is>
          <t>Карьерный сайт job.dellin.ru</t>
        </is>
      </c>
      <c r="I11" s="42" t="inlineStr">
        <is>
          <t>https://www.dellin.ru</t>
        </is>
      </c>
      <c r="J11" s="41" t="n"/>
      <c r="K11" s="41" t="n"/>
      <c r="L11" s="41" t="n"/>
      <c r="M11" s="41" t="n"/>
      <c r="N11" s="41" t="inlineStr">
        <is>
          <t>да (hh 137628815)</t>
        </is>
      </c>
      <c r="O11" s="41" t="n"/>
      <c r="P11" s="41" t="inlineStr">
        <is>
          <t>Исходный список: с баллом</t>
        </is>
      </c>
      <c r="Q11" s="41" t="inlineStr">
        <is>
          <t>исх.</t>
        </is>
      </c>
      <c r="R11" s="41" t="n"/>
    </row>
    <row r="12" ht="23.85" customHeight="1" s="26">
      <c r="A12" s="40" t="n">
        <v>11</v>
      </c>
      <c r="B12" s="41" t="inlineStr">
        <is>
          <t>★ 1 — открыта, проходит</t>
        </is>
      </c>
      <c r="C12" s="41" t="inlineStr">
        <is>
          <t>Синергия Возможностей</t>
        </is>
      </c>
      <c r="D12" s="41" t="inlineStr">
        <is>
          <t>Event-менеджер</t>
        </is>
      </c>
      <c r="E12" s="42" t="inlineStr">
        <is>
          <t>https://hh.ru/vacancy/137878159</t>
        </is>
      </c>
      <c r="F12" s="41" t="inlineStr">
        <is>
          <t>welcome@leninskoeclub.ru; info@leninskoeclub.ru</t>
        </is>
      </c>
      <c r="G12" s="41" t="inlineStr">
        <is>
          <t>+7 (812) 615-22-06; Telegram +7 921 111-21-02</t>
        </is>
      </c>
      <c r="H12" s="41" t="inlineStr">
        <is>
          <t>Отдельных HR-контактов нет — отклик через hh</t>
        </is>
      </c>
      <c r="I12" s="42" t="inlineStr">
        <is>
          <t>https://leninskoeclub.ru (загородный клуб «Ленинское»)</t>
        </is>
      </c>
      <c r="J12" s="41" t="n"/>
      <c r="K12" s="41" t="n"/>
      <c r="L12" s="41" t="n"/>
      <c r="M12" s="41" t="n"/>
      <c r="N12" s="41" t="inlineStr">
        <is>
          <t>да (hh 137878159)</t>
        </is>
      </c>
      <c r="O12" s="41" t="n"/>
      <c r="P12" s="41" t="inlineStr">
        <is>
          <t>Исходный список: с баллом</t>
        </is>
      </c>
      <c r="Q12" s="41" t="inlineStr">
        <is>
          <t>исх.</t>
        </is>
      </c>
      <c r="R12" s="41" t="n"/>
    </row>
    <row r="13" ht="23.85" customHeight="1" s="26">
      <c r="A13" s="40" t="n">
        <v>12</v>
      </c>
      <c r="B13" s="41" t="inlineStr">
        <is>
          <t>★ 1 — открыта, проходит</t>
        </is>
      </c>
      <c r="C13" s="41" t="inlineStr">
        <is>
          <t>Шоппинг Сентер Менеджмент Интернэшнл</t>
        </is>
      </c>
      <c r="D13" s="41" t="inlineStr">
        <is>
          <t>Event-менеджер</t>
        </is>
      </c>
      <c r="E13" s="42" t="inlineStr">
        <is>
          <t>https://hh.ru/vacancy/137732623</t>
        </is>
      </c>
      <c r="F13" s="43" t="inlineStr">
        <is>
          <t>scmi@scmi.ru; reklama@trkraduga.ru</t>
        </is>
      </c>
      <c r="G13" s="43" t="inlineStr">
        <is>
          <t>+7 (812) 336-62-93 (администрация); +7 (812) 449-99-00</t>
        </is>
      </c>
      <c r="H13" s="41" t="inlineStr">
        <is>
          <t>Отклик через hh (работодатель 724237)</t>
        </is>
      </c>
      <c r="I13" s="42" t="inlineStr">
        <is>
          <t>https://www.trkraduga.ru (ТРК «Питер Радуга»)</t>
        </is>
      </c>
      <c r="J13" s="41" t="n"/>
      <c r="K13" s="41" t="n"/>
      <c r="L13" s="41" t="n"/>
      <c r="M13" s="41" t="n"/>
      <c r="N13" s="41" t="inlineStr">
        <is>
          <t>да (hh 137732623)</t>
        </is>
      </c>
      <c r="O13" s="41" t="n"/>
      <c r="P13" s="41" t="inlineStr">
        <is>
          <t>Исходный список: с баллом</t>
        </is>
      </c>
      <c r="Q13" s="41" t="inlineStr">
        <is>
          <t>исх.</t>
        </is>
      </c>
      <c r="R13" s="41" t="n"/>
      <c r="S13" s="44" t="inlineStr">
        <is>
          <t>https://trkraduga.ru/contacts/</t>
        </is>
      </c>
    </row>
    <row r="14" ht="23.85" customHeight="1" s="26">
      <c r="A14" s="40" t="n">
        <v>13</v>
      </c>
      <c r="B14" s="41" t="inlineStr">
        <is>
          <t>★ 1 — открыта, проходит</t>
        </is>
      </c>
      <c r="C14" s="41" t="inlineStr">
        <is>
          <t>Джаггер</t>
        </is>
      </c>
      <c r="D14" s="41" t="inlineStr">
        <is>
          <t>Event-менеджер</t>
        </is>
      </c>
      <c r="E14" s="42" t="inlineStr">
        <is>
          <t>https://hh.ru/vacancy/137822005</t>
        </is>
      </c>
      <c r="F14" s="43" t="inlineStr">
        <is>
          <t>info@jagger.live</t>
        </is>
      </c>
      <c r="G14" s="41" t="inlineStr">
        <is>
          <t>+7 966 929-00-40; корпоративы +7 905 260-68-25</t>
        </is>
      </c>
      <c r="H14" s="41" t="inlineStr">
        <is>
          <t>Отклик через hh (работодатель 9373190)</t>
        </is>
      </c>
      <c r="I14" s="42" t="inlineStr">
        <is>
          <t>https://jagger.live</t>
        </is>
      </c>
      <c r="J14" s="41" t="n"/>
      <c r="K14" s="41" t="n"/>
      <c r="L14" s="41" t="n"/>
      <c r="M14" s="41" t="n"/>
      <c r="N14" s="41" t="inlineStr">
        <is>
          <t>да (hh 137822005)</t>
        </is>
      </c>
      <c r="O14" s="41" t="n"/>
      <c r="P14" s="41" t="inlineStr">
        <is>
          <t>Исходный список: с баллом</t>
        </is>
      </c>
      <c r="Q14" s="41" t="inlineStr">
        <is>
          <t>исх.</t>
        </is>
      </c>
      <c r="R14" s="41" t="n"/>
      <c r="S14" s="44" t="inlineStr">
        <is>
          <t>https://jagger.live/contacts</t>
        </is>
      </c>
    </row>
    <row r="15" ht="23.85" customHeight="1" s="26">
      <c r="A15" s="40" t="n">
        <v>14</v>
      </c>
      <c r="B15" s="41" t="inlineStr">
        <is>
          <t>★ 1 — открыта, проходит</t>
        </is>
      </c>
      <c r="C15" s="41" t="inlineStr">
        <is>
          <t>Арт-Лидер</t>
        </is>
      </c>
      <c r="D15" s="41" t="inlineStr">
        <is>
          <t>Помощник менеджера в праздничное агентство</t>
        </is>
      </c>
      <c r="E15" s="42" t="inlineStr">
        <is>
          <t>https://hh.ru/vacancy/137344671</t>
        </is>
      </c>
      <c r="F15" s="43" t="inlineStr">
        <is>
          <t>не найдена (на сайте есть форма)</t>
        </is>
      </c>
      <c r="G15" s="43" t="inlineStr">
        <is>
          <t>+7 (812) 983-12-49</t>
        </is>
      </c>
      <c r="H15" s="41" t="inlineStr">
        <is>
          <t>Отклик через hh (работодатель 114424)</t>
        </is>
      </c>
      <c r="I15" s="54" t="inlineStr">
        <is>
          <t>http://liderstar.ru (подтверждено: «Арт-Лидер», Ленинский пр., 81к1)</t>
        </is>
      </c>
      <c r="J15" s="41" t="n"/>
      <c r="K15" s="41" t="n"/>
      <c r="L15" s="41" t="n"/>
      <c r="M15" s="41" t="n"/>
      <c r="N15" s="41" t="inlineStr">
        <is>
          <t>да (hh 137344671)</t>
        </is>
      </c>
      <c r="O15" s="41" t="n"/>
      <c r="P15" s="41" t="inlineStr">
        <is>
          <t>Исходный список: с баллом</t>
        </is>
      </c>
      <c r="Q15" s="41" t="inlineStr">
        <is>
          <t>исх.</t>
        </is>
      </c>
      <c r="R15" s="41" t="n"/>
      <c r="S15" s="44" t="inlineStr">
        <is>
          <t>http://liderstar.ru/</t>
        </is>
      </c>
    </row>
    <row r="16" ht="23.85" customHeight="1" s="26">
      <c r="A16" s="40" t="n">
        <v>15</v>
      </c>
      <c r="B16" s="41" t="inlineStr">
        <is>
          <t>★ 1 — открыта, проходит</t>
        </is>
      </c>
      <c r="C16" s="41" t="inlineStr">
        <is>
          <t>Эктум</t>
        </is>
      </c>
      <c r="D16" s="41" t="inlineStr">
        <is>
          <t>Event-менеджер (Senior)</t>
        </is>
      </c>
      <c r="E16" s="42" t="inlineStr">
        <is>
          <t>https://hh.ru/vacancy/137725227</t>
        </is>
      </c>
      <c r="F16" s="43" t="inlineStr">
        <is>
          <t>event@ectum.ru; ectum@mail.ru</t>
        </is>
      </c>
      <c r="G16" s="43" t="inlineStr">
        <is>
          <t>+7 (812) 740-67-91; +7 (905) 257-60-60</t>
        </is>
      </c>
      <c r="H16" s="41" t="inlineStr">
        <is>
          <t>Отклик через hh (работодатель 5314789)</t>
        </is>
      </c>
      <c r="I16" s="41" t="inlineStr">
        <is>
          <t>ektum.pro (сайт не открылся)</t>
        </is>
      </c>
      <c r="J16" s="41" t="n"/>
      <c r="K16" s="41" t="n"/>
      <c r="L16" s="41" t="n"/>
      <c r="M16" s="41" t="n"/>
      <c r="N16" s="41" t="inlineStr">
        <is>
          <t>да (hh 137725227)</t>
        </is>
      </c>
      <c r="O16" s="41" t="n"/>
      <c r="P16" s="41" t="inlineStr">
        <is>
          <t>Исходный список: с баллом</t>
        </is>
      </c>
      <c r="Q16" s="41" t="inlineStr">
        <is>
          <t>исх.</t>
        </is>
      </c>
      <c r="R16" s="41" t="n"/>
      <c r="S16" s="44" t="inlineStr">
        <is>
          <t>https://www.rusprofile.ru/id/10182163</t>
        </is>
      </c>
    </row>
    <row r="17" ht="23.85" customHeight="1" s="26">
      <c r="A17" s="40" t="n">
        <v>16</v>
      </c>
      <c r="B17" s="41" t="inlineStr">
        <is>
          <t>★ 1 — открыта, проходит</t>
        </is>
      </c>
      <c r="C17" s="41" t="inlineStr">
        <is>
          <t>Невские медведи</t>
        </is>
      </c>
      <c r="D17" s="41" t="inlineStr">
        <is>
          <t>Руководитель спортивных проектов</t>
        </is>
      </c>
      <c r="E17" s="42" t="inlineStr">
        <is>
          <t>https://hh.ru/vacancy/137599637</t>
        </is>
      </c>
      <c r="F17" s="41" t="inlineStr">
        <is>
          <t>info@nevsky-bears.ru</t>
        </is>
      </c>
      <c r="G17" s="41" t="inlineStr">
        <is>
          <t>8 499 388-92-79</t>
        </is>
      </c>
      <c r="H17" s="41" t="inlineStr">
        <is>
          <t>Telegram @medvedispb</t>
        </is>
      </c>
      <c r="I17" s="42" t="inlineStr">
        <is>
          <t>https://nevsky-bears.ru</t>
        </is>
      </c>
      <c r="J17" s="41" t="n"/>
      <c r="K17" s="41" t="n"/>
      <c r="L17" s="41" t="n"/>
      <c r="M17" s="41" t="n"/>
      <c r="N17" s="41" t="inlineStr">
        <is>
          <t>да (hh 137599637)</t>
        </is>
      </c>
      <c r="O17" s="41" t="n"/>
      <c r="P17" s="41" t="inlineStr">
        <is>
          <t>Исходный список: с баллом</t>
        </is>
      </c>
      <c r="Q17" s="41" t="inlineStr">
        <is>
          <t>исх.</t>
        </is>
      </c>
      <c r="R17" s="41" t="n"/>
    </row>
    <row r="18" ht="23.85" customHeight="1" s="26">
      <c r="A18" s="40" t="n">
        <v>17</v>
      </c>
      <c r="B18" s="41" t="inlineStr">
        <is>
          <t>★ 1 — открыта, проходит</t>
        </is>
      </c>
      <c r="C18" s="41" t="inlineStr">
        <is>
          <t>Magnat Professional</t>
        </is>
      </c>
      <c r="D18" s="41" t="inlineStr">
        <is>
          <t>Event-менеджер международных выставок и работы с клиентами</t>
        </is>
      </c>
      <c r="E18" s="42" t="inlineStr">
        <is>
          <t>https://hh.ru/vacancy/136925471</t>
        </is>
      </c>
      <c r="F18" s="41" t="inlineStr">
        <is>
          <t>office@magnatmedia.com</t>
        </is>
      </c>
      <c r="G18" s="41" t="inlineStr">
        <is>
          <t>+7 (812) 340-44-78</t>
        </is>
      </c>
      <c r="H18" s="41" t="inlineStr">
        <is>
          <t>Страница вакансий: magnatmedia.com/vakansii</t>
        </is>
      </c>
      <c r="I18" s="42" t="inlineStr">
        <is>
          <t>https://magnatmedia.com</t>
        </is>
      </c>
      <c r="J18" s="41" t="n"/>
      <c r="K18" s="41" t="n"/>
      <c r="L18" s="41" t="n"/>
      <c r="M18" s="41" t="n"/>
      <c r="N18" s="41" t="inlineStr">
        <is>
          <t>да (hh 136925471)</t>
        </is>
      </c>
      <c r="O18" s="41" t="n"/>
      <c r="P18" s="41" t="inlineStr">
        <is>
          <t>Исходный список: с баллом</t>
        </is>
      </c>
      <c r="Q18" s="41" t="inlineStr">
        <is>
          <t>исх.</t>
        </is>
      </c>
      <c r="R18" s="41" t="n"/>
    </row>
    <row r="19" ht="23.85" customHeight="1" s="26">
      <c r="A19" s="40" t="n">
        <v>18</v>
      </c>
      <c r="B19" s="41" t="inlineStr">
        <is>
          <t>★ 1 — открыта, проходит</t>
        </is>
      </c>
      <c r="C19" s="41" t="inlineStr">
        <is>
          <t>СТЦ</t>
        </is>
      </c>
      <c r="D19" s="41" t="inlineStr">
        <is>
          <t>Менеджер по корпоративной культуре</t>
        </is>
      </c>
      <c r="E19" s="42" t="inlineStr">
        <is>
          <t>https://hh.ru/vacancy/136832995</t>
        </is>
      </c>
      <c r="F19" s="41" t="inlineStr">
        <is>
          <t>personal@stc-spb.ru</t>
        </is>
      </c>
      <c r="G19" s="41" t="inlineStr">
        <is>
          <t>+7 (812) 244-33-13 (HR)</t>
        </is>
      </c>
      <c r="H19" s="41" t="inlineStr">
        <is>
          <t>personal@stc-spb.ru; Telegram @stc_vesti</t>
        </is>
      </c>
      <c r="I19" s="42" t="inlineStr">
        <is>
          <t>http://stc-spb.ru</t>
        </is>
      </c>
      <c r="J19" s="41" t="n"/>
      <c r="K19" s="41" t="n"/>
      <c r="L19" s="41" t="n"/>
      <c r="M19" s="41" t="n"/>
      <c r="N19" s="41" t="inlineStr">
        <is>
          <t>да (hh 136832995)</t>
        </is>
      </c>
      <c r="O19" s="41" t="n"/>
      <c r="P19" s="41" t="inlineStr">
        <is>
          <t>Исходный список: с баллом</t>
        </is>
      </c>
      <c r="Q19" s="41" t="inlineStr">
        <is>
          <t>исх.</t>
        </is>
      </c>
      <c r="R19" s="41" t="n"/>
    </row>
    <row r="20" ht="35.05" customHeight="1" s="26">
      <c r="A20" s="40" t="n">
        <v>19</v>
      </c>
      <c r="B20" s="41" t="inlineStr">
        <is>
          <t>★ 1 — открыта, проходит</t>
        </is>
      </c>
      <c r="C20" s="41" t="inlineStr">
        <is>
          <t>Курорт «Дом у Моря»</t>
        </is>
      </c>
      <c r="D20" s="41" t="inlineStr">
        <is>
          <t>Арт-директор / организатор мероприятий; Event-менеджер (136965745)</t>
        </is>
      </c>
      <c r="E20" s="42" t="inlineStr">
        <is>
          <t>https://hh.ru/vacancy/137703166</t>
        </is>
      </c>
      <c r="F20" s="43" t="inlineStr">
        <is>
          <t>info@seahomeresort.ru</t>
        </is>
      </c>
      <c r="G20" s="43" t="inlineStr">
        <is>
          <t>+7 (812) 748-29-90; +7 (812) 564-88-29</t>
        </is>
      </c>
      <c r="H20" s="41" t="inlineStr">
        <is>
          <t>Отклик через hh (работодатель 2721682)</t>
        </is>
      </c>
      <c r="I20" s="42" t="inlineStr">
        <is>
          <t>http://www.seahomeresort.ru</t>
        </is>
      </c>
      <c r="J20" s="41" t="n"/>
      <c r="K20" s="41" t="n"/>
      <c r="L20" s="41" t="n"/>
      <c r="M20" s="41" t="n"/>
      <c r="N20" s="41" t="inlineStr">
        <is>
          <t>да (hh 137703166)</t>
        </is>
      </c>
      <c r="O20" s="41" t="n"/>
      <c r="P20" s="41" t="inlineStr">
        <is>
          <t>Исходный список: с баллом</t>
        </is>
      </c>
      <c r="Q20" s="41" t="inlineStr">
        <is>
          <t>исх.</t>
        </is>
      </c>
      <c r="R20" s="41" t="n"/>
      <c r="S20" s="44" t="inlineStr">
        <is>
          <t>https://www.seahomeresort.ru/contact</t>
        </is>
      </c>
    </row>
    <row r="21" ht="23.85" customHeight="1" s="26">
      <c r="A21" s="40" t="n">
        <v>20</v>
      </c>
      <c r="B21" s="41" t="inlineStr">
        <is>
          <t>★ 1 — открыта, проходит</t>
        </is>
      </c>
      <c r="C21" s="41" t="inlineStr">
        <is>
          <t>Важная рыба</t>
        </is>
      </c>
      <c r="D21" s="41" t="inlineStr">
        <is>
          <t>Менеджер по развитию event-направления</t>
        </is>
      </c>
      <c r="E21" s="42" t="inlineStr">
        <is>
          <t>https://hh.ru/vacancy/137877541</t>
        </is>
      </c>
      <c r="F21" s="43" t="inlineStr">
        <is>
          <t>reklama@vipfish.ru</t>
        </is>
      </c>
      <c r="G21" s="41" t="inlineStr">
        <is>
          <t>8 800 500-50-05</t>
        </is>
      </c>
      <c r="H21" s="41" t="inlineStr">
        <is>
          <t>Отклик через hh (работодатель 2899836)</t>
        </is>
      </c>
      <c r="I21" s="42" t="inlineStr">
        <is>
          <t>https://vipfish.ru</t>
        </is>
      </c>
      <c r="J21" s="41" t="n"/>
      <c r="K21" s="41" t="n"/>
      <c r="L21" s="41" t="n"/>
      <c r="M21" s="41" t="n"/>
      <c r="N21" s="41" t="inlineStr">
        <is>
          <t>да (hh 137877541)</t>
        </is>
      </c>
      <c r="O21" s="41" t="n"/>
      <c r="P21" s="41" t="inlineStr">
        <is>
          <t>Исходный список: с баллом</t>
        </is>
      </c>
      <c r="Q21" s="41" t="inlineStr">
        <is>
          <t>исх.</t>
        </is>
      </c>
      <c r="R21" s="41" t="n"/>
      <c r="S21" s="44" t="inlineStr">
        <is>
          <t>https://vipfish.ru/contact/</t>
        </is>
      </c>
    </row>
    <row r="22" ht="23.85" customHeight="1" s="26">
      <c r="A22" s="40" t="n">
        <v>21</v>
      </c>
      <c r="B22" s="41" t="inlineStr">
        <is>
          <t>★ 1 — открыта, проходит</t>
        </is>
      </c>
      <c r="C22" s="41" t="inlineStr">
        <is>
          <t>РА Oxygen</t>
        </is>
      </c>
      <c r="D22" s="41" t="inlineStr">
        <is>
          <t>Менеджер проектов Event/BTL; Аккаунт-менеджер BTL/Event/POSM (137342892)</t>
        </is>
      </c>
      <c r="E22" s="42" t="inlineStr">
        <is>
          <t>https://hh.ru/vacancy/136715334</t>
        </is>
      </c>
      <c r="F22" s="41" t="inlineStr">
        <is>
          <t>ask@oxygen-agency.ru</t>
        </is>
      </c>
      <c r="G22" s="41" t="inlineStr">
        <is>
          <t>+7 (812) 679-05-59</t>
        </is>
      </c>
      <c r="H22" s="41" t="inlineStr">
        <is>
          <t>Отдельных HR-контактов нет — отклик через hh</t>
        </is>
      </c>
      <c r="I22" s="42" t="inlineStr">
        <is>
          <t>https://oxygen-agency.ru</t>
        </is>
      </c>
      <c r="J22" s="41" t="n"/>
      <c r="K22" s="41" t="n"/>
      <c r="L22" s="41" t="n"/>
      <c r="M22" s="41" t="n"/>
      <c r="N22" s="41" t="inlineStr">
        <is>
          <t>да (hh 136715334)</t>
        </is>
      </c>
      <c r="O22" s="41" t="n"/>
      <c r="P22" s="41" t="inlineStr">
        <is>
          <t>Исходный список: с баллом</t>
        </is>
      </c>
      <c r="Q22" s="41" t="inlineStr">
        <is>
          <t>исх.</t>
        </is>
      </c>
      <c r="R22" s="41" t="n"/>
    </row>
    <row r="23" ht="23.85" customHeight="1" s="26">
      <c r="A23" s="40" t="n">
        <v>22</v>
      </c>
      <c r="B23" s="41" t="inlineStr">
        <is>
          <t>★ 1 — открыта, проходит</t>
        </is>
      </c>
      <c r="C23" s="41" t="inlineStr">
        <is>
          <t>ПЦ «Антреприза»</t>
        </is>
      </c>
      <c r="D23" s="41" t="inlineStr">
        <is>
          <t>Технический менеджер ивент-проектов (также 137251888, 137251889)</t>
        </is>
      </c>
      <c r="E23" s="42" t="inlineStr">
        <is>
          <t>https://hh.ru/vacancy/137512283</t>
        </is>
      </c>
      <c r="F23" s="41" t="inlineStr">
        <is>
          <t>info@antrepriza-spb.ru</t>
        </is>
      </c>
      <c r="G23" s="41" t="inlineStr">
        <is>
          <t>+7 (812) 627-60-70</t>
        </is>
      </c>
      <c r="H23" s="41" t="inlineStr">
        <is>
          <t>Форма отклика на сайте</t>
        </is>
      </c>
      <c r="I23" s="42" t="inlineStr">
        <is>
          <t>https://www.antrepriza-spb.ru</t>
        </is>
      </c>
      <c r="J23" s="41" t="n"/>
      <c r="K23" s="41" t="n"/>
      <c r="L23" s="41" t="n"/>
      <c r="M23" s="41" t="n"/>
      <c r="N23" s="41" t="inlineStr">
        <is>
          <t>да (hh 137512283)</t>
        </is>
      </c>
      <c r="O23" s="41" t="n"/>
      <c r="P23" s="41" t="inlineStr">
        <is>
          <t>Исходный список: с баллом</t>
        </is>
      </c>
      <c r="Q23" s="41" t="inlineStr">
        <is>
          <t>исх.</t>
        </is>
      </c>
      <c r="R23" s="41" t="n"/>
    </row>
    <row r="24" ht="23.85" customHeight="1" s="26">
      <c r="A24" s="45" t="n">
        <v>23</v>
      </c>
      <c r="B24" s="45" t="inlineStr">
        <is>
          <t>1б — открыта, ниже порога / проверить</t>
        </is>
      </c>
      <c r="C24" s="45" t="inlineStr">
        <is>
          <t>U24</t>
        </is>
      </c>
      <c r="D24" s="45" t="n"/>
      <c r="E24" s="45" t="n"/>
      <c r="F24" s="46" t="inlineStr">
        <is>
          <t>hello@u24.services (соискатели); corp@u24.services; mice@u24.services</t>
        </is>
      </c>
      <c r="G24" s="46" t="inlineStr">
        <is>
          <t>+7 (812) 333-33-24</t>
        </is>
      </c>
      <c r="H24" s="46" t="inlineStr">
        <is>
          <t>hello@u24.services (для соискателей)</t>
        </is>
      </c>
      <c r="I24" s="46" t="inlineStr">
        <is>
          <t>https://u24.services</t>
        </is>
      </c>
      <c r="J24" s="45" t="n"/>
      <c r="K24" s="45" t="n"/>
      <c r="L24" s="45" t="n"/>
      <c r="M24" s="45" t="n"/>
      <c r="N24" s="45" t="inlineStr">
        <is>
          <t>да (hh 137943865)</t>
        </is>
      </c>
      <c r="O24" s="45" t="n"/>
      <c r="P24" s="45" t="inlineStr">
        <is>
          <t>Исходный список: ниже порога / скрыт</t>
        </is>
      </c>
      <c r="Q24" s="45" t="inlineStr">
        <is>
          <t>исх.</t>
        </is>
      </c>
      <c r="R24" s="45" t="n"/>
      <c r="S24" s="44" t="inlineStr">
        <is>
          <t>https://u24.services/contacts/</t>
        </is>
      </c>
    </row>
    <row r="25" ht="23.85" customHeight="1" s="26">
      <c r="A25" s="45" t="n">
        <v>24</v>
      </c>
      <c r="B25" s="45" t="inlineStr">
        <is>
          <t>1б — открыта, ниже порога / проверить</t>
        </is>
      </c>
      <c r="C25" s="45" t="inlineStr">
        <is>
          <t>Инженеры События</t>
        </is>
      </c>
      <c r="D25" s="45" t="n"/>
      <c r="E25" s="45" t="n"/>
      <c r="F25" s="46" t="inlineStr">
        <is>
          <t>info@engineers.spb.ru</t>
        </is>
      </c>
      <c r="G25" s="46" t="inlineStr">
        <is>
          <t>+7 (921) 900-37-84</t>
        </is>
      </c>
      <c r="H25" s="46" t="inlineStr">
        <is>
          <t>Отдельных HR-контактов не найдено</t>
        </is>
      </c>
      <c r="I25" s="46" t="inlineStr">
        <is>
          <t>https://www.engineers.spb.ru</t>
        </is>
      </c>
      <c r="J25" s="45" t="n"/>
      <c r="K25" s="45" t="n"/>
      <c r="L25" s="45" t="n"/>
      <c r="M25" s="45" t="n"/>
      <c r="N25" s="45" t="inlineStr">
        <is>
          <t>да (hh 137879237)</t>
        </is>
      </c>
      <c r="O25" s="45" t="n"/>
      <c r="P25" s="45" t="inlineStr">
        <is>
          <t>Исходный список: ниже порога / скрыт</t>
        </is>
      </c>
      <c r="Q25" s="45" t="inlineStr">
        <is>
          <t>исх.</t>
        </is>
      </c>
      <c r="R25" s="45" t="n"/>
      <c r="S25" s="44" t="inlineStr">
        <is>
          <t>https://www.engineers.spb.ru/contact</t>
        </is>
      </c>
    </row>
    <row r="26" ht="23.85" customHeight="1" s="26">
      <c r="A26" s="45" t="n">
        <v>25</v>
      </c>
      <c r="B26" s="45" t="inlineStr">
        <is>
          <t>1б — открыта, ниже порога / проверить</t>
        </is>
      </c>
      <c r="C26" s="45" t="inlineStr">
        <is>
          <t>ИнфоТеКС</t>
        </is>
      </c>
      <c r="D26" s="45" t="n"/>
      <c r="E26" s="45" t="n"/>
      <c r="F26" s="46" t="inlineStr">
        <is>
          <t>hr@infotecs.ru</t>
        </is>
      </c>
      <c r="G26" s="46" t="inlineStr">
        <is>
          <t>+7 (495) 737-61-92 (головной офис); СПб-офис: ул. Артиллерийская, 1</t>
        </is>
      </c>
      <c r="H26" s="46" t="inlineStr">
        <is>
          <t>hr@infotecs.ru; карьерный сайт career.infotecs.ru</t>
        </is>
      </c>
      <c r="I26" s="46" t="inlineStr">
        <is>
          <t>https://infotecs.ru</t>
        </is>
      </c>
      <c r="J26" s="45" t="n"/>
      <c r="K26" s="45" t="n"/>
      <c r="L26" s="45" t="n"/>
      <c r="M26" s="45" t="n"/>
      <c r="N26" s="45" t="inlineStr">
        <is>
          <t>да (hh 136966346)</t>
        </is>
      </c>
      <c r="O26" s="45" t="n"/>
      <c r="P26" s="45" t="inlineStr">
        <is>
          <t>Исходный список: ниже порога / скрыт</t>
        </is>
      </c>
      <c r="Q26" s="45" t="inlineStr">
        <is>
          <t>исх.</t>
        </is>
      </c>
      <c r="R26" s="45" t="n"/>
      <c r="S26" s="44" t="inlineStr">
        <is>
          <t>https://infotecs.ru/about/contacts/</t>
        </is>
      </c>
    </row>
    <row r="27" ht="23.85" customHeight="1" s="26">
      <c r="A27" s="45" t="n">
        <v>26</v>
      </c>
      <c r="B27" s="45" t="inlineStr">
        <is>
          <t>1б — открыта, ниже порога / проверить</t>
        </is>
      </c>
      <c r="C27" s="45" t="inlineStr">
        <is>
          <t>Шишки на Лампушке</t>
        </is>
      </c>
      <c r="D27" s="45" t="n"/>
      <c r="E27" s="45" t="n"/>
      <c r="F27" s="46" t="inlineStr">
        <is>
          <t>headsales@lampushka.ru (мероприятия); booking@lampushka.ru</t>
        </is>
      </c>
      <c r="G27" s="46" t="inlineStr">
        <is>
          <t>+7 (921) 976-00-05 (мероприятия); +7 (812) 319-19-19</t>
        </is>
      </c>
      <c r="H27" s="46" t="inlineStr">
        <is>
          <t>Отдельных HR-контактов не найдено</t>
        </is>
      </c>
      <c r="I27" s="46" t="inlineStr">
        <is>
          <t>https://lampushka.ru</t>
        </is>
      </c>
      <c r="J27" s="45" t="n"/>
      <c r="K27" s="45" t="n"/>
      <c r="L27" s="45" t="n"/>
      <c r="M27" s="45" t="n"/>
      <c r="N27" s="45" t="inlineStr">
        <is>
          <t>да (hh 137145269)</t>
        </is>
      </c>
      <c r="O27" s="45" t="n"/>
      <c r="P27" s="45" t="inlineStr">
        <is>
          <t>Исходный список: ниже порога / скрыт</t>
        </is>
      </c>
      <c r="Q27" s="45" t="inlineStr">
        <is>
          <t>исх.</t>
        </is>
      </c>
      <c r="R27" s="45" t="n"/>
      <c r="S27" s="44" t="inlineStr">
        <is>
          <t>https://lampushka.ru/kontakty/</t>
        </is>
      </c>
    </row>
    <row r="28" ht="23.85" customHeight="1" s="26">
      <c r="A28" s="45" t="n">
        <v>27</v>
      </c>
      <c r="B28" s="45" t="inlineStr">
        <is>
          <t>1б — открыта, ниже порога / проверить</t>
        </is>
      </c>
      <c r="C28" s="45" t="inlineStr">
        <is>
          <t>«Я — Актёр!»</t>
        </is>
      </c>
      <c r="D28" s="45" t="n"/>
      <c r="E28" s="45" t="n"/>
      <c r="F28" s="46" t="inlineStr">
        <is>
          <t>не найдена</t>
        </is>
      </c>
      <c r="G28" s="46" t="inlineStr">
        <is>
          <t>8 800 550-62-10; +7 (931) 287-70-05</t>
        </is>
      </c>
      <c r="H28" s="46" t="inlineStr">
        <is>
          <t>Отдельных HR-контактов не найдено</t>
        </is>
      </c>
      <c r="I28" s="46" t="inlineStr">
        <is>
          <t>https://i-actor.ru</t>
        </is>
      </c>
      <c r="J28" s="45" t="n"/>
      <c r="K28" s="45" t="n"/>
      <c r="L28" s="45" t="n"/>
      <c r="M28" s="45" t="n"/>
      <c r="N28" s="45" t="inlineStr">
        <is>
          <t>да (hh 136835469)</t>
        </is>
      </c>
      <c r="O28" s="45" t="n"/>
      <c r="P28" s="45" t="inlineStr">
        <is>
          <t>Исходный список: ниже порога / скрыт</t>
        </is>
      </c>
      <c r="Q28" s="45" t="inlineStr">
        <is>
          <t>исх.</t>
        </is>
      </c>
      <c r="R28" s="45" t="n"/>
      <c r="S28" s="44" t="inlineStr">
        <is>
          <t>https://i-actor.ru/branches</t>
        </is>
      </c>
    </row>
    <row r="29" ht="23.85" customHeight="1" s="26">
      <c r="A29" s="45" t="n">
        <v>28</v>
      </c>
      <c r="B29" s="45" t="inlineStr">
        <is>
          <t>1б — открыта, ниже порога / проверить</t>
        </is>
      </c>
      <c r="C29" s="45" t="inlineStr">
        <is>
          <t>Фонд поддержки предпринимательства ЛО</t>
        </is>
      </c>
      <c r="D29" s="45" t="n"/>
      <c r="E29" s="45" t="n"/>
      <c r="F29" s="46" t="inlineStr">
        <is>
          <t>fpp@813.ru</t>
        </is>
      </c>
      <c r="G29" s="46" t="inlineStr">
        <is>
          <t>8 800 302-08-13; +7 (812) 309-46-88</t>
        </is>
      </c>
      <c r="H29" s="46" t="inlineStr">
        <is>
          <t>Отдельных HR-контактов не найдено</t>
        </is>
      </c>
      <c r="I29" s="46" t="inlineStr">
        <is>
          <t>https://813.ru</t>
        </is>
      </c>
      <c r="J29" s="45" t="n"/>
      <c r="K29" s="45" t="n"/>
      <c r="L29" s="45" t="n"/>
      <c r="M29" s="45" t="n"/>
      <c r="N29" s="45" t="inlineStr">
        <is>
          <t>да (hh 136566776)</t>
        </is>
      </c>
      <c r="O29" s="45" t="n"/>
      <c r="P29" s="45" t="inlineStr">
        <is>
          <t>Исходный список: ниже порога / скрыт</t>
        </is>
      </c>
      <c r="Q29" s="45" t="inlineStr">
        <is>
          <t>исх.</t>
        </is>
      </c>
      <c r="R29" s="45" t="n"/>
      <c r="S29" s="44" t="inlineStr">
        <is>
          <t>https://813.ru/about/</t>
        </is>
      </c>
    </row>
    <row r="30" ht="23.85" customHeight="1" s="26">
      <c r="A30" s="45" t="n">
        <v>29</v>
      </c>
      <c r="B30" s="45" t="inlineStr">
        <is>
          <t>1б — открыта, ниже порога / проверить</t>
        </is>
      </c>
      <c r="C30" s="45" t="inlineStr">
        <is>
          <t>Ласт Левел</t>
        </is>
      </c>
      <c r="D30" s="45" t="n"/>
      <c r="E30" s="45" t="n"/>
      <c r="F30" s="46" t="inlineStr">
        <is>
          <t>не найдена</t>
        </is>
      </c>
      <c r="G30" s="46" t="inlineStr">
        <is>
          <t>не найден</t>
        </is>
      </c>
      <c r="H30" s="46" t="inlineStr">
        <is>
          <t>Отклик через hh (работодатель 2523802); по ЕГРЮЛ — разработчик мобильных игр, наб. Петроградская, 20</t>
        </is>
      </c>
      <c r="I30" s="46" t="inlineStr">
        <is>
          <t>http://ll-games.com</t>
        </is>
      </c>
      <c r="J30" s="45" t="n"/>
      <c r="K30" s="45" t="n"/>
      <c r="L30" s="45" t="n"/>
      <c r="M30" s="45" t="n"/>
      <c r="N30" s="45" t="inlineStr">
        <is>
          <t>да (hh 137243214)</t>
        </is>
      </c>
      <c r="O30" s="45" t="n"/>
      <c r="P30" s="45" t="inlineStr">
        <is>
          <t>Исходный список: ниже порога / скрыт</t>
        </is>
      </c>
      <c r="Q30" s="45" t="inlineStr">
        <is>
          <t>исх.</t>
        </is>
      </c>
      <c r="R30" s="45" t="n"/>
      <c r="S30" s="44" t="inlineStr">
        <is>
          <t>https://spb.hh.ru/employer/2523802</t>
        </is>
      </c>
    </row>
    <row r="31" ht="23.85" customHeight="1" s="26">
      <c r="A31" s="45" t="n">
        <v>30</v>
      </c>
      <c r="B31" s="45" t="inlineStr">
        <is>
          <t>1б — открыта, ниже порога / проверить</t>
        </is>
      </c>
      <c r="C31" s="45" t="inlineStr">
        <is>
          <t>Курорт «Большое Борково»</t>
        </is>
      </c>
      <c r="D31" s="45" t="n"/>
      <c r="E31" s="45" t="n"/>
      <c r="F31" s="46" t="inlineStr">
        <is>
          <t>info@bolshoeborkovo.ru; sales@bolshoeborkovo.ru (мероприятия)</t>
        </is>
      </c>
      <c r="G31" s="46" t="inlineStr">
        <is>
          <t>+7 (921) 570-60-89; +7 (977) 089-53-30; +7 (999) 241-48-25 (мероприятия)</t>
        </is>
      </c>
      <c r="H31" s="46" t="inlineStr">
        <is>
          <t>Отдельных HR-контактов не найдено</t>
        </is>
      </c>
      <c r="I31" s="46" t="inlineStr">
        <is>
          <t>https://bolshoeborkovo.ru</t>
        </is>
      </c>
      <c r="J31" s="45" t="n"/>
      <c r="K31" s="45" t="n"/>
      <c r="L31" s="45" t="n"/>
      <c r="M31" s="45" t="n"/>
      <c r="N31" s="45" t="inlineStr">
        <is>
          <t>да (hh 136767828)</t>
        </is>
      </c>
      <c r="O31" s="45" t="n"/>
      <c r="P31" s="45" t="inlineStr">
        <is>
          <t>Исходный список: ниже порога / скрыт</t>
        </is>
      </c>
      <c r="Q31" s="45" t="inlineStr">
        <is>
          <t>исх.</t>
        </is>
      </c>
      <c r="R31" s="45" t="n"/>
      <c r="S31" s="44" t="inlineStr">
        <is>
          <t>https://bolshoeborkovo.ru/events</t>
        </is>
      </c>
    </row>
    <row r="32" ht="23.85" customHeight="1" s="26">
      <c r="A32" s="45" t="n">
        <v>31</v>
      </c>
      <c r="B32" s="45" t="inlineStr">
        <is>
          <t>1б — открыта, ниже порога / проверить</t>
        </is>
      </c>
      <c r="C32" s="45" t="inlineStr">
        <is>
          <t>HR-Prof</t>
        </is>
      </c>
      <c r="D32" s="45" t="n"/>
      <c r="E32" s="45" t="n"/>
      <c r="F32" s="46" t="inlineStr">
        <is>
          <t>info@hr-profi.ru</t>
        </is>
      </c>
      <c r="G32" s="46" t="inlineStr">
        <is>
          <t>8 800 511-30-37; +7 (812) 458-04-01</t>
        </is>
      </c>
      <c r="H32" s="46" t="inlineStr">
        <is>
          <t>Это само кадровое агентство (подбор под клиента)</t>
        </is>
      </c>
      <c r="I32" s="46" t="inlineStr">
        <is>
          <t>https://hr-profi.ru</t>
        </is>
      </c>
      <c r="J32" s="45" t="n"/>
      <c r="K32" s="45" t="n"/>
      <c r="L32" s="45" t="n"/>
      <c r="M32" s="45" t="n"/>
      <c r="N32" s="45" t="inlineStr">
        <is>
          <t>да (hh 137219840)</t>
        </is>
      </c>
      <c r="O32" s="45" t="n"/>
      <c r="P32" s="45" t="inlineStr">
        <is>
          <t>Исходный список: ниже порога / скрыт</t>
        </is>
      </c>
      <c r="Q32" s="45" t="inlineStr">
        <is>
          <t>исх.</t>
        </is>
      </c>
      <c r="R32" s="45" t="n"/>
      <c r="S32" s="44" t="inlineStr">
        <is>
          <t>https://hr-profi.ru/contacts/</t>
        </is>
      </c>
    </row>
    <row r="33" ht="23.85" customHeight="1" s="26">
      <c r="A33" s="45" t="n">
        <v>32</v>
      </c>
      <c r="B33" s="45" t="inlineStr">
        <is>
          <t>1б — открыта, ниже порога / проверить</t>
        </is>
      </c>
      <c r="C33" s="45" t="inlineStr">
        <is>
          <t>БУБИН ИВЕНТ</t>
        </is>
      </c>
      <c r="D33" s="45" t="n"/>
      <c r="E33" s="45" t="n"/>
      <c r="F33" s="46" t="inlineStr">
        <is>
          <t>info@bubin.events</t>
        </is>
      </c>
      <c r="G33" s="46" t="inlineStr">
        <is>
          <t>+7 (812) 409-94-40</t>
        </is>
      </c>
      <c r="H33" s="46" t="inlineStr">
        <is>
          <t>Отдельных HR-контактов не найдено</t>
        </is>
      </c>
      <c r="I33" s="46" t="inlineStr">
        <is>
          <t>https://bubin.events</t>
        </is>
      </c>
      <c r="J33" s="45" t="n"/>
      <c r="K33" s="45" t="n"/>
      <c r="L33" s="45" t="n"/>
      <c r="M33" s="45" t="n"/>
      <c r="N33" s="45" t="inlineStr">
        <is>
          <t>да (hh 137448127)</t>
        </is>
      </c>
      <c r="O33" s="45" t="n"/>
      <c r="P33" s="45" t="inlineStr">
        <is>
          <t>Исходный список: ниже порога / скрыт</t>
        </is>
      </c>
      <c r="Q33" s="45" t="inlineStr">
        <is>
          <t>исх.</t>
        </is>
      </c>
      <c r="R33" s="45" t="n"/>
      <c r="S33" s="44" t="inlineStr">
        <is>
          <t>https://bubin.events/about</t>
        </is>
      </c>
    </row>
    <row r="34" ht="23.85" customHeight="1" s="26">
      <c r="A34" s="45" t="n">
        <v>33</v>
      </c>
      <c r="B34" s="45" t="inlineStr">
        <is>
          <t>1б — открыта, ниже порога / проверить</t>
        </is>
      </c>
      <c r="C34" s="45" t="inlineStr">
        <is>
          <t>Fort Group</t>
        </is>
      </c>
      <c r="D34" s="45" t="n"/>
      <c r="E34" s="45" t="n"/>
      <c r="F34" s="46" t="inlineStr">
        <is>
          <t>FG@fortgroup.ru; pr@fortgroup.ru (СМИ)</t>
        </is>
      </c>
      <c r="G34" s="46" t="inlineStr">
        <is>
          <t>+7 (812) 456-63-00; коммерч. департамент +7 (812) 602-10-00</t>
        </is>
      </c>
      <c r="H34" s="46" t="inlineStr">
        <is>
          <t>Отдельных HR-контактов не найдено</t>
        </is>
      </c>
      <c r="I34" s="46" t="inlineStr">
        <is>
          <t>https://fortgroup.ru</t>
        </is>
      </c>
      <c r="J34" s="45" t="n"/>
      <c r="K34" s="45" t="n"/>
      <c r="L34" s="45" t="n"/>
      <c r="M34" s="45" t="n"/>
      <c r="N34" s="45" t="inlineStr">
        <is>
          <t>да (hh 135792942)</t>
        </is>
      </c>
      <c r="O34" s="45" t="n"/>
      <c r="P34" s="45" t="inlineStr">
        <is>
          <t>Исходный список: ниже порога / скрыт</t>
        </is>
      </c>
      <c r="Q34" s="45" t="inlineStr">
        <is>
          <t>исх.</t>
        </is>
      </c>
      <c r="R34" s="45" t="n"/>
      <c r="S34" s="44" t="inlineStr">
        <is>
          <t>https://fortgroup.ru/ru/about/contacts/</t>
        </is>
      </c>
    </row>
    <row r="35" ht="23.85" customHeight="1" s="26">
      <c r="A35" s="45" t="n">
        <v>34</v>
      </c>
      <c r="B35" s="45" t="inlineStr">
        <is>
          <t>1б — открыта, ниже порога / проверить</t>
        </is>
      </c>
      <c r="C35" s="45" t="inlineStr">
        <is>
          <t>Royal Beach</t>
        </is>
      </c>
      <c r="D35" s="45" t="n"/>
      <c r="E35" s="45" t="n"/>
      <c r="F35" s="46" t="inlineStr">
        <is>
          <t>pr@triton.su (партнёрство)</t>
        </is>
      </c>
      <c r="G35" s="46" t="inlineStr">
        <is>
          <t>+7 (812) 677-79-35; +7 (921) 362-26-98</t>
        </is>
      </c>
      <c r="H35" s="46" t="inlineStr">
        <is>
          <t>Отдельных HR-контактов не найдено</t>
        </is>
      </c>
      <c r="I35" s="46" t="inlineStr">
        <is>
          <t>https://royalbeach.ru</t>
        </is>
      </c>
      <c r="J35" s="45" t="n"/>
      <c r="K35" s="45" t="n"/>
      <c r="L35" s="45" t="n"/>
      <c r="M35" s="45" t="n"/>
      <c r="N35" s="45" t="inlineStr">
        <is>
          <t>да (hh 137116678)</t>
        </is>
      </c>
      <c r="O35" s="45" t="n"/>
      <c r="P35" s="45" t="inlineStr">
        <is>
          <t>Исходный список: ниже порога / скрыт</t>
        </is>
      </c>
      <c r="Q35" s="45" t="inlineStr">
        <is>
          <t>исх.</t>
        </is>
      </c>
      <c r="R35" s="45" t="n"/>
      <c r="S35" s="44" t="inlineStr">
        <is>
          <t>https://www.frio.ru/members/royal-beach/</t>
        </is>
      </c>
    </row>
    <row r="36" ht="23.85" customHeight="1" s="26">
      <c r="A36" s="45" t="n">
        <v>35</v>
      </c>
      <c r="B36" s="45" t="inlineStr">
        <is>
          <t>1б — открыта, ниже порога / проверить</t>
        </is>
      </c>
      <c r="C36" s="45" t="inlineStr">
        <is>
          <t>Вселенная классики</t>
        </is>
      </c>
      <c r="D36" s="45" t="n"/>
      <c r="E36" s="45" t="n"/>
      <c r="F36" s="46" t="inlineStr">
        <is>
          <t>info@classicuniverse.ru</t>
        </is>
      </c>
      <c r="G36" s="46" t="inlineStr">
        <is>
          <t>+7 (999) 007-13-27</t>
        </is>
      </c>
      <c r="H36" s="46" t="inlineStr">
        <is>
          <t>Отдельных HR-контактов не найдено</t>
        </is>
      </c>
      <c r="I36" s="46" t="inlineStr">
        <is>
          <t>https://classicuniverse.ru</t>
        </is>
      </c>
      <c r="J36" s="45" t="n"/>
      <c r="K36" s="45" t="n"/>
      <c r="L36" s="45" t="n"/>
      <c r="M36" s="45" t="n"/>
      <c r="N36" s="45" t="inlineStr">
        <is>
          <t>да (hh 136901352)</t>
        </is>
      </c>
      <c r="O36" s="45" t="n"/>
      <c r="P36" s="45" t="inlineStr">
        <is>
          <t>Исходный список: ниже порога / скрыт</t>
        </is>
      </c>
      <c r="Q36" s="45" t="inlineStr">
        <is>
          <t>исх.</t>
        </is>
      </c>
      <c r="R36" s="45" t="n"/>
      <c r="S36" s="44" t="inlineStr">
        <is>
          <t>https://classicuniverse.ru/</t>
        </is>
      </c>
    </row>
    <row r="37" ht="35.05" customHeight="1" s="26">
      <c r="A37" s="47" t="n">
        <v>36</v>
      </c>
      <c r="B37" s="47" t="inlineStr">
        <is>
          <t>3 — проходит, вакансия закрыта/не найдена</t>
        </is>
      </c>
      <c r="C37" s="47" t="inlineStr">
        <is>
          <t>Euroshow Promoter (ООО «Медиашоу»)</t>
        </is>
      </c>
      <c r="D37" s="47" t="inlineStr">
        <is>
          <t>Менеджер проектов (концертная деятельность)</t>
        </is>
      </c>
      <c r="E37" s="48" t="inlineStr">
        <is>
          <t>https://zarplata.ru/vacancy/125867439</t>
        </is>
      </c>
      <c r="F37" s="46" t="inlineStr">
        <is>
          <t>office@euro.show; ceo@euro.show (исп. директор К. Жмуро)</t>
        </is>
      </c>
      <c r="G37" s="46" t="inlineStr">
        <is>
          <t>+7 (812) 670-55-88; +7 (921) 933-25-19</t>
        </is>
      </c>
      <c r="H37" s="46" t="inlineStr">
        <is>
          <t>Отдельных HR-контактов не найдено</t>
        </is>
      </c>
      <c r="I37" s="46" t="inlineStr">
        <is>
          <t>https://euroshow-spb.ru</t>
        </is>
      </c>
      <c r="J37" s="47" t="inlineStr">
        <is>
          <t>Б1 Б2 Б3 Б4 Б5 Б7</t>
        </is>
      </c>
      <c r="K37" s="47" t="n">
        <v>6</v>
      </c>
      <c r="L37" s="47" t="inlineStr">
        <is>
          <t>от 100 тыс.; ?</t>
        </is>
      </c>
      <c r="M37" s="47" t="inlineStr">
        <is>
          <t>?</t>
        </is>
      </c>
      <c r="N37" s="47" t="inlineStr">
        <is>
          <t>не найдена в каталогах</t>
        </is>
      </c>
      <c r="O37" s="47" t="inlineStr">
        <is>
          <t>средняя</t>
        </is>
      </c>
      <c r="P37" s="47" t="inlineStr">
        <is>
          <t>Подтверждено (полный текст)</t>
        </is>
      </c>
      <c r="Q37" s="47" t="n">
        <v>3</v>
      </c>
      <c r="R37" s="47" t="inlineStr">
        <is>
          <t>Сметы, площадки, подрядчики, букинг, логистика и размещение артистов, отчётность</t>
        </is>
      </c>
      <c r="S37" s="44" t="inlineStr">
        <is>
          <t>https://www.euro.show/?page_id=28</t>
        </is>
      </c>
    </row>
    <row r="38" ht="23.85" customHeight="1" s="26">
      <c r="A38" s="47" t="n">
        <v>37</v>
      </c>
      <c r="B38" s="47" t="inlineStr">
        <is>
          <t>3 — проходит, вакансия закрыта/не найдена</t>
        </is>
      </c>
      <c r="C38" s="47" t="inlineStr">
        <is>
          <t>Коммерсантъ</t>
        </is>
      </c>
      <c r="D38" s="47" t="inlineStr">
        <is>
          <t>Продюсер деловых мероприятий</t>
        </is>
      </c>
      <c r="E38" s="48" t="inlineStr">
        <is>
          <t>https://h.careers/job/7a25ae0d-8a05-4a45-a008-88a864a6dfd2</t>
        </is>
      </c>
      <c r="F38" s="46" t="inlineStr">
        <is>
          <t>officespb@kommersant.ru</t>
        </is>
      </c>
      <c r="G38" s="46" t="inlineStr">
        <is>
          <t>+7 (812) 324-69-49; +7 (812) 324-67-96</t>
        </is>
      </c>
      <c r="H38" s="46" t="inlineStr">
        <is>
          <t>Отдельных HR-контактов СПб-редакции не найдено</t>
        </is>
      </c>
      <c r="I38" s="46" t="inlineStr">
        <is>
          <t>https://www.kommersant.ru</t>
        </is>
      </c>
      <c r="J38" s="47" t="inlineStr">
        <is>
          <t>Б1 Б2 Б5 Б6 Б7 (+Б3 в требованиях)</t>
        </is>
      </c>
      <c r="K38" s="47" t="n">
        <v>5</v>
      </c>
      <c r="L38" s="47" t="inlineStr">
        <is>
          <t>не указана; от 2 лет</t>
        </is>
      </c>
      <c r="M38" s="47" t="inlineStr">
        <is>
          <t>ГПХ / самозанятость</t>
        </is>
      </c>
      <c r="N38" s="47" t="inlineStr">
        <is>
          <t>не найдена в каталогах</t>
        </is>
      </c>
      <c r="O38" s="47" t="inlineStr">
        <is>
          <t>высокая</t>
        </is>
      </c>
      <c r="P38" s="47" t="inlineStr">
        <is>
          <t>Подтверждено (полный текст)</t>
        </is>
      </c>
      <c r="Q38" s="47" t="n">
        <v>1</v>
      </c>
      <c r="R38" s="47" t="inlineStr">
        <is>
          <t>Из ваших «не прочитанных»</t>
        </is>
      </c>
      <c r="S38" s="44" t="inlineStr">
        <is>
          <t>https://www.kommersant.ru/doc/2539838</t>
        </is>
      </c>
    </row>
    <row r="39" ht="23.85" customHeight="1" s="26">
      <c r="A39" s="47" t="n">
        <v>38</v>
      </c>
      <c r="B39" s="47" t="inlineStr">
        <is>
          <t>3 — проходит, вакансия закрыта/не найдена</t>
        </is>
      </c>
      <c r="C39" s="47" t="inlineStr">
        <is>
          <t>Газпром Большая Лахта (КСК «Лахта Холл»)</t>
        </is>
      </c>
      <c r="D39" s="47" t="inlineStr">
        <is>
          <t>Координатор мероприятий</t>
        </is>
      </c>
      <c r="E39" s="48" t="inlineStr">
        <is>
          <t>https://hh.ru/vacancy/133749565</t>
        </is>
      </c>
      <c r="F39" s="46" t="inlineStr">
        <is>
          <t>lakhta-hall@gazprombl.ru</t>
        </is>
      </c>
      <c r="G39" s="46" t="inlineStr">
        <is>
          <t>+7 (812) 425-39-07</t>
        </is>
      </c>
      <c r="H39" s="46" t="inlineStr">
        <is>
          <t>Отдельных HR-контактов не найдено</t>
        </is>
      </c>
      <c r="I39" s="46" t="inlineStr">
        <is>
          <t>https://lakhta-hall.spb.ru</t>
        </is>
      </c>
      <c r="J39" s="47" t="inlineStr">
        <is>
          <t>Б2 Б3 Б5 Б6 Б7</t>
        </is>
      </c>
      <c r="K39" s="47" t="n">
        <v>5</v>
      </c>
      <c r="L39" s="47" t="inlineStr">
        <is>
          <t>не указана; 3–6 лет</t>
        </is>
      </c>
      <c r="M39" s="47" t="inlineStr">
        <is>
          <t>ТД</t>
        </is>
      </c>
      <c r="N39" s="47" t="inlineStr">
        <is>
          <t>не найдена в каталогах</t>
        </is>
      </c>
      <c r="O39" s="47" t="inlineStr">
        <is>
          <t>высокая</t>
        </is>
      </c>
      <c r="P39" s="47" t="inlineStr">
        <is>
          <t>Подтверждено (полный текст)</t>
        </is>
      </c>
      <c r="Q39" s="47" t="n">
        <v>1</v>
      </c>
      <c r="R39" s="47" t="inlineStr">
        <is>
          <t>Аналог эталона «Юбилейный»</t>
        </is>
      </c>
      <c r="S39" s="44" t="inlineStr">
        <is>
          <t>https://lakhta-hall.spb.ru/</t>
        </is>
      </c>
    </row>
    <row r="40" ht="23.85" customHeight="1" s="26">
      <c r="A40" s="47" t="n">
        <v>39</v>
      </c>
      <c r="B40" s="47" t="inlineStr">
        <is>
          <t>3 — проходит, вакансия закрыта/не найдена</t>
        </is>
      </c>
      <c r="C40" s="47" t="inlineStr">
        <is>
          <t>Газинформсервис</t>
        </is>
      </c>
      <c r="D40" s="47" t="inlineStr">
        <is>
          <t>Ведущий менеджер корпоративных событий</t>
        </is>
      </c>
      <c r="E40" s="48" t="inlineStr">
        <is>
          <t>https://hh.ru/vacancy/111395239</t>
        </is>
      </c>
      <c r="F40" s="46" t="inlineStr">
        <is>
          <t>resp@gaz-is.ru</t>
        </is>
      </c>
      <c r="G40" s="46" t="inlineStr">
        <is>
          <t>+7 (812) 677-20-50; PR-служба +7 (812) 677-27-50</t>
        </is>
      </c>
      <c r="H40" s="46" t="inlineStr">
        <is>
          <t>Карьерная страница на Хабр Карьере (career.habr.com/companies/gaz-is)</t>
        </is>
      </c>
      <c r="I40" s="46" t="inlineStr">
        <is>
          <t>https://www.gaz-is.ru</t>
        </is>
      </c>
      <c r="J40" s="47" t="inlineStr">
        <is>
          <t>Б1 Б3 Б4 Б7 (Б6 частично)</t>
        </is>
      </c>
      <c r="K40" s="47" t="n">
        <v>4</v>
      </c>
      <c r="L40" s="47" t="inlineStr">
        <is>
          <t>не указана; 1–3 (в тексте от 3 лет)</t>
        </is>
      </c>
      <c r="M40" s="47" t="inlineStr">
        <is>
          <t>ТД</t>
        </is>
      </c>
      <c r="N40" s="47" t="inlineStr">
        <is>
          <t>не найдена в каталогах</t>
        </is>
      </c>
      <c r="O40" s="47" t="inlineStr">
        <is>
          <t>высокая</t>
        </is>
      </c>
      <c r="P40" s="47" t="inlineStr">
        <is>
          <t>Подтверждено (полный текст)</t>
        </is>
      </c>
      <c r="Q40" s="47" t="n">
        <v>1</v>
      </c>
      <c r="R40" s="47" t="inlineStr">
        <is>
          <t>Из ваших «не прочитанных»; складские остатки сувенирки</t>
        </is>
      </c>
      <c r="S40" s="44" t="inlineStr">
        <is>
          <t>https://www.gaz-is.ru/o-kompanii/contacty</t>
        </is>
      </c>
    </row>
    <row r="41" ht="23.85" customHeight="1" s="26">
      <c r="A41" s="47" t="n">
        <v>40</v>
      </c>
      <c r="B41" s="47" t="inlineStr">
        <is>
          <t>3 — проходит, вакансия закрыта/не найдена</t>
        </is>
      </c>
      <c r="C41" s="47" t="inlineStr">
        <is>
          <t>Creon</t>
        </is>
      </c>
      <c r="D41" s="47" t="inlineStr">
        <is>
          <t>Координатор / менеджер проектов (BTL, Event)</t>
        </is>
      </c>
      <c r="E41" s="48" t="inlineStr">
        <is>
          <t>https://sankt-peterburg.jobfilter.ru/работа/координатор-проектов</t>
        </is>
      </c>
      <c r="F41" s="46" t="inlineStr">
        <is>
          <t>info@creon-group.com</t>
        </is>
      </c>
      <c r="G41" s="46" t="inlineStr">
        <is>
          <t>+7 (495) 276-77-88; СПб-офис +7 (812) 413-99-17</t>
        </is>
      </c>
      <c r="H41" s="46" t="inlineStr">
        <is>
          <t>Отдельных HR-контактов не найдено</t>
        </is>
      </c>
      <c r="I41" s="46" t="inlineStr">
        <is>
          <t>https://creon-group.com</t>
        </is>
      </c>
      <c r="J41" s="47" t="inlineStr">
        <is>
          <t>Б1 Б5 Б6</t>
        </is>
      </c>
      <c r="K41" s="47" t="n">
        <v>3</v>
      </c>
      <c r="L41" s="47" t="inlineStr">
        <is>
          <t>не указана; ?</t>
        </is>
      </c>
      <c r="M41" s="47" t="inlineStr">
        <is>
          <t>?</t>
        </is>
      </c>
      <c r="N41" s="47" t="inlineStr">
        <is>
          <t>не найдена в каталогах</t>
        </is>
      </c>
      <c r="O41" s="47" t="inlineStr">
        <is>
          <t>низкая</t>
        </is>
      </c>
      <c r="P41" s="47" t="inlineStr">
        <is>
          <t>Проходит по сниппету</t>
        </is>
      </c>
      <c r="Q41" s="47" t="n">
        <v>2</v>
      </c>
      <c r="R41" s="47" t="n"/>
      <c r="S41" s="44" t="inlineStr">
        <is>
          <t>https://creon-group.com/en/contacts/</t>
        </is>
      </c>
    </row>
    <row r="42" ht="23.85" customHeight="1" s="26">
      <c r="A42" s="47" t="n">
        <v>41</v>
      </c>
      <c r="B42" s="47" t="inlineStr">
        <is>
          <t>3 — проходит, вакансия закрыта/не найдена</t>
        </is>
      </c>
      <c r="C42" s="47" t="inlineStr">
        <is>
          <t>Diamond Communication</t>
        </is>
      </c>
      <c r="D42" s="47" t="inlineStr">
        <is>
          <t>Event-менеджер закупщик / просчёт event-проектов</t>
        </is>
      </c>
      <c r="E42" s="48" t="inlineStr">
        <is>
          <t>https://spb.zarplata.ru/vacancies/zakupshik</t>
        </is>
      </c>
      <c r="F42" s="46" t="inlineStr">
        <is>
          <t>не найдена</t>
        </is>
      </c>
      <c r="G42" s="46" t="inlineStr">
        <is>
          <t>+7 (901) 977-77-57; +7 (812) 703-86-36; 8 800 300-06-89</t>
        </is>
      </c>
      <c r="H42" s="46" t="inlineStr">
        <is>
          <t>Отдельных HR-контактов не найдено</t>
        </is>
      </c>
      <c r="I42" s="46" t="inlineStr">
        <is>
          <t>https://diamondcommunication.ru</t>
        </is>
      </c>
      <c r="J42" s="47" t="inlineStr">
        <is>
          <t>Б1 Б3 Б4</t>
        </is>
      </c>
      <c r="K42" s="47" t="n">
        <v>3</v>
      </c>
      <c r="L42" s="47" t="inlineStr">
        <is>
          <t>100–200 тыс.; 1–3 года</t>
        </is>
      </c>
      <c r="M42" s="47" t="inlineStr">
        <is>
          <t>?</t>
        </is>
      </c>
      <c r="N42" s="47" t="inlineStr">
        <is>
          <t>не найдена в каталогах</t>
        </is>
      </c>
      <c r="O42" s="47" t="inlineStr">
        <is>
          <t>низкая</t>
        </is>
      </c>
      <c r="P42" s="47" t="inlineStr">
        <is>
          <t>Проходит по сниппету</t>
        </is>
      </c>
      <c r="Q42" s="47" t="n">
        <v>2</v>
      </c>
      <c r="R42" s="47" t="inlineStr">
        <is>
          <t>Застройка стендов, закупки — близко к логистике</t>
        </is>
      </c>
      <c r="S42" s="44" t="inlineStr">
        <is>
          <t>https://www.alladvertising.ru/info/diamond_communication.html</t>
        </is>
      </c>
    </row>
    <row r="43" ht="23.85" customHeight="1" s="26">
      <c r="A43" s="47" t="n">
        <v>42</v>
      </c>
      <c r="B43" s="47" t="inlineStr">
        <is>
          <t>3 — проходит, вакансия закрыта/не найдена</t>
        </is>
      </c>
      <c r="C43" s="47" t="inlineStr">
        <is>
          <t>СПбГУ, факультет МКН</t>
        </is>
      </c>
      <c r="D43" s="47" t="inlineStr">
        <is>
          <t>Администратор образовательных программ</t>
        </is>
      </c>
      <c r="E43" s="48" t="inlineStr">
        <is>
          <t>https://math-cs.spbu.ru/vakansii/</t>
        </is>
      </c>
      <c r="F43" s="46" t="inlineStr">
        <is>
          <t>dean_mcs@spbu.ru</t>
        </is>
      </c>
      <c r="G43" s="46" t="inlineStr">
        <is>
          <t>+7 (812) 363-68-55; +7 (812) 363-68-71</t>
        </is>
      </c>
      <c r="H43" s="46" t="inlineStr">
        <is>
          <t>Отдельных HR-контактов не найдено</t>
        </is>
      </c>
      <c r="I43" s="46" t="inlineStr">
        <is>
          <t>https://math-cs.spbu.ru</t>
        </is>
      </c>
      <c r="J43" s="47" t="inlineStr">
        <is>
          <t>Б3 Б4 Б6</t>
        </is>
      </c>
      <c r="K43" s="47" t="n">
        <v>3</v>
      </c>
      <c r="L43" s="47" t="inlineStr">
        <is>
          <t>?; ?</t>
        </is>
      </c>
      <c r="M43" s="47" t="inlineStr">
        <is>
          <t>?</t>
        </is>
      </c>
      <c r="N43" s="47" t="inlineStr">
        <is>
          <t>не найдена в каталогах</t>
        </is>
      </c>
      <c r="O43" s="47" t="inlineStr">
        <is>
          <t>низкая</t>
        </is>
      </c>
      <c r="P43" s="47" t="inlineStr">
        <is>
          <t>Проходит по сниппету</t>
        </is>
      </c>
      <c r="Q43" s="47" t="n">
        <v>3</v>
      </c>
      <c r="R43" s="47" t="inlineStr">
        <is>
          <t>Мероприятия, выезды, закупки, визы</t>
        </is>
      </c>
      <c r="S43" s="44" t="inlineStr">
        <is>
          <t>https://math-cs.spbu.ru/en/contacts/</t>
        </is>
      </c>
    </row>
    <row r="44" ht="23.85" customHeight="1" s="26">
      <c r="A44" s="47" t="n">
        <v>43</v>
      </c>
      <c r="B44" s="47" t="inlineStr">
        <is>
          <t>3 — проходит, вакансия закрыта/не найдена</t>
        </is>
      </c>
      <c r="C44" s="47" t="inlineStr">
        <is>
          <t>REINEXPO</t>
        </is>
      </c>
      <c r="D44" s="47" t="n"/>
      <c r="E44" s="47" t="n"/>
      <c r="F44" s="46" t="inlineStr">
        <is>
          <t>office@reinexpo.ru</t>
        </is>
      </c>
      <c r="G44" s="46" t="inlineStr">
        <is>
          <t>+7 (812) 984-14-04; +7 (495) 363-89-65</t>
        </is>
      </c>
      <c r="H44" s="46" t="inlineStr">
        <is>
          <t>Отдельных HR-контактов не найдено</t>
        </is>
      </c>
      <c r="I44" s="46" t="inlineStr">
        <is>
          <t>https://reinexpo.ru</t>
        </is>
      </c>
      <c r="J44" s="47" t="n"/>
      <c r="K44" s="47" t="n"/>
      <c r="L44" s="47" t="n"/>
      <c r="M44" s="47" t="n"/>
      <c r="N44" s="47" t="inlineStr">
        <is>
          <t>не найдена в каталогах</t>
        </is>
      </c>
      <c r="O44" s="47" t="n"/>
      <c r="P44" s="47" t="inlineStr">
        <is>
          <t>Исходный список: с баллом</t>
        </is>
      </c>
      <c r="Q44" s="47" t="inlineStr">
        <is>
          <t>исх.</t>
        </is>
      </c>
      <c r="R44" s="47" t="n"/>
      <c r="S44" s="44" t="inlineStr">
        <is>
          <t>https://reinexpo.ru/contacts</t>
        </is>
      </c>
    </row>
    <row r="45" ht="23.85" customHeight="1" s="26">
      <c r="A45" s="47" t="n">
        <v>44</v>
      </c>
      <c r="B45" s="47" t="inlineStr">
        <is>
          <t>3 — проходит, вакансия закрыта/не найдена</t>
        </is>
      </c>
      <c r="C45" s="47" t="inlineStr">
        <is>
          <t>Imperial Orchestra</t>
        </is>
      </c>
      <c r="D45" s="47" t="n"/>
      <c r="E45" s="47" t="n"/>
      <c r="F45" s="46" t="inlineStr">
        <is>
          <t>info@imperialorchestra.ru</t>
        </is>
      </c>
      <c r="G45" s="46" t="inlineStr">
        <is>
          <t>+7 (812) 219-50-00</t>
        </is>
      </c>
      <c r="H45" s="46" t="inlineStr">
        <is>
          <t>Отдельных HR-контактов не найдено</t>
        </is>
      </c>
      <c r="I45" s="46" t="inlineStr">
        <is>
          <t>https://imperialorchestra.ru</t>
        </is>
      </c>
      <c r="J45" s="47" t="n"/>
      <c r="K45" s="47" t="n"/>
      <c r="L45" s="47" t="n"/>
      <c r="M45" s="47" t="n"/>
      <c r="N45" s="47" t="inlineStr">
        <is>
          <t>не найдена в каталогах</t>
        </is>
      </c>
      <c r="O45" s="47" t="n"/>
      <c r="P45" s="47" t="inlineStr">
        <is>
          <t>Исходный список: с баллом</t>
        </is>
      </c>
      <c r="Q45" s="47" t="inlineStr">
        <is>
          <t>исх.</t>
        </is>
      </c>
      <c r="R45" s="47" t="n"/>
      <c r="S45" s="44" t="inlineStr">
        <is>
          <t>https://imperialorchestra.ru/</t>
        </is>
      </c>
    </row>
    <row r="46" ht="23.85" customHeight="1" s="26">
      <c r="A46" s="49" t="n">
        <v>45</v>
      </c>
      <c r="B46" s="49" t="inlineStr">
        <is>
          <t>4 — не проверено</t>
        </is>
      </c>
      <c r="C46" s="49" t="inlineStr">
        <is>
          <t>Аврора, рекламно-производственная компания</t>
        </is>
      </c>
      <c r="D46" s="49" t="inlineStr">
        <is>
          <t>Руководитель отдела аренды (event)</t>
        </is>
      </c>
      <c r="E46" s="50" t="inlineStr">
        <is>
          <t>https://hh.ru/vacancy/131831550</t>
        </is>
      </c>
      <c r="F46" s="46" t="inlineStr">
        <is>
          <t>не найдена</t>
        </is>
      </c>
      <c r="G46" s="46" t="inlineStr">
        <is>
          <t>+7 (812) 677-93-81; +7 (812) 677-83-91</t>
        </is>
      </c>
      <c r="H46" s="46" t="inlineStr">
        <is>
          <t>Отдельных HR-контактов не найдено</t>
        </is>
      </c>
      <c r="I46" s="46" t="inlineStr">
        <is>
          <t>http://www.avroragifts.ru (по каталогу Cataloxy — проверить, та ли «Аврора»)</t>
        </is>
      </c>
      <c r="J46" s="49" t="inlineStr">
        <is>
          <t>Б1 Б2 Б3 (сниппет)</t>
        </is>
      </c>
      <c r="K46" s="49" t="n">
        <v>3</v>
      </c>
      <c r="L46" s="49" t="inlineStr">
        <is>
          <t>от 100 тыс.; 3–6 лет</t>
        </is>
      </c>
      <c r="M46" s="49" t="inlineStr">
        <is>
          <t>ТД</t>
        </is>
      </c>
      <c r="N46" s="49" t="inlineStr">
        <is>
          <t>не найдена в каталогах</t>
        </is>
      </c>
      <c r="O46" s="49" t="inlineStr">
        <is>
          <t>низкая</t>
        </is>
      </c>
      <c r="P46" s="49" t="inlineStr">
        <is>
          <t>Текст скрыт (архив)</t>
        </is>
      </c>
      <c r="Q46" s="49" t="n">
        <v>3</v>
      </c>
      <c r="R46" s="49" t="inlineStr">
        <is>
          <t>3–6 лет требует ≥5 блоков — вероятно ниже порога</t>
        </is>
      </c>
      <c r="S46" s="44" t="inlineStr">
        <is>
          <t>https://st-petersburg.cataloxy.ru/firms/www.avroragifts.ru.htm</t>
        </is>
      </c>
    </row>
    <row r="47" ht="23.85" customHeight="1" s="26">
      <c r="A47" s="49" t="n">
        <v>46</v>
      </c>
      <c r="B47" s="49" t="inlineStr">
        <is>
          <t>4 — не проверено</t>
        </is>
      </c>
      <c r="C47" s="49" t="inlineStr">
        <is>
          <t>Агентство «Аврора-Клуб»</t>
        </is>
      </c>
      <c r="D47" s="49" t="inlineStr">
        <is>
          <t>Менеджер по организации мероприятий</t>
        </is>
      </c>
      <c r="E47" s="50" t="inlineStr">
        <is>
          <t>https://hh.ru/vacancy/130869449</t>
        </is>
      </c>
      <c r="F47" s="46" t="inlineStr">
        <is>
          <t>mail@1000kadrov.ru</t>
        </is>
      </c>
      <c r="G47" s="46" t="inlineStr">
        <is>
          <t>не найден</t>
        </is>
      </c>
      <c r="H47" s="46" t="inlineStr">
        <is>
          <t>Отдельных HR-контактов не найдено</t>
        </is>
      </c>
      <c r="I47" s="46" t="inlineStr">
        <is>
          <t>auroraklub.ru (проверить)</t>
        </is>
      </c>
      <c r="J47" s="49" t="inlineStr">
        <is>
          <t>? (выезды на площадку)</t>
        </is>
      </c>
      <c r="K47" s="49" t="inlineStr">
        <is>
          <t>?</t>
        </is>
      </c>
      <c r="L47" s="49" t="inlineStr">
        <is>
          <t>80–120 тыс.; 1–3 года</t>
        </is>
      </c>
      <c r="M47" s="49" t="inlineStr">
        <is>
          <t>ТД</t>
        </is>
      </c>
      <c r="N47" s="49" t="inlineStr">
        <is>
          <t>не найдена в каталогах</t>
        </is>
      </c>
      <c r="O47" s="49" t="inlineStr">
        <is>
          <t>низкая</t>
        </is>
      </c>
      <c r="P47" s="49" t="inlineStr">
        <is>
          <t>Текст скрыт (архив)</t>
        </is>
      </c>
      <c r="Q47" s="49" t="n">
        <v>3</v>
      </c>
      <c r="R47" s="49" t="inlineStr">
        <is>
          <t>Описание на hh скрыто</t>
        </is>
      </c>
      <c r="S47" s="44" t="inlineStr">
        <is>
          <t>https://saby.ru/profile/7802452332-780201001</t>
        </is>
      </c>
    </row>
    <row r="48" ht="23.85" customHeight="1" s="26">
      <c r="A48" s="49" t="n">
        <v>47</v>
      </c>
      <c r="B48" s="49" t="inlineStr">
        <is>
          <t>4 — не проверено</t>
        </is>
      </c>
      <c r="C48" s="49" t="inlineStr">
        <is>
          <t>Золотое Звено</t>
        </is>
      </c>
      <c r="D48" s="49" t="inlineStr">
        <is>
          <t>Менеджер проектов BTL/EVENT</t>
        </is>
      </c>
      <c r="E48" s="50" t="inlineStr">
        <is>
          <t>https://spb.hh.ru/vacancy/130841133</t>
        </is>
      </c>
      <c r="F48" s="46" t="inlineStr">
        <is>
          <t>info@zolotoezveno.ru</t>
        </is>
      </c>
      <c r="G48" s="46" t="inlineStr">
        <is>
          <t>+7 (812) 702-05-07; +7 (812) 642-22-52</t>
        </is>
      </c>
      <c r="H48" s="46" t="inlineStr">
        <is>
          <t>Отдельных HR-контактов не найдено</t>
        </is>
      </c>
      <c r="I48" s="46" t="inlineStr">
        <is>
          <t>https://zolotoezveno.ru</t>
        </is>
      </c>
      <c r="J48" s="49" t="inlineStr">
        <is>
          <t>Б7 (CRM)</t>
        </is>
      </c>
      <c r="K48" s="49" t="inlineStr">
        <is>
          <t>?</t>
        </is>
      </c>
      <c r="L48" s="49" t="inlineStr">
        <is>
          <t>от 60 тыс.; без опыта</t>
        </is>
      </c>
      <c r="M48" s="49" t="inlineStr">
        <is>
          <t>?</t>
        </is>
      </c>
      <c r="N48" s="49" t="inlineStr">
        <is>
          <t>не найдена в каталогах</t>
        </is>
      </c>
      <c r="O48" s="49" t="inlineStr">
        <is>
          <t>низкая</t>
        </is>
      </c>
      <c r="P48" s="49" t="inlineStr">
        <is>
          <t>Не проверено (?)</t>
        </is>
      </c>
      <c r="Q48" s="49" t="n">
        <v>3</v>
      </c>
      <c r="R48" s="49" t="inlineStr">
        <is>
          <t>Похоже на продажи</t>
        </is>
      </c>
      <c r="S48" s="44" t="inlineStr">
        <is>
          <t>https://2gis.ru/spb/firm/5348552839107437</t>
        </is>
      </c>
    </row>
    <row r="49" ht="23.85" customHeight="1" s="26">
      <c r="A49" s="49" t="n">
        <v>48</v>
      </c>
      <c r="B49" s="49" t="inlineStr">
        <is>
          <t>4 — не проверено</t>
        </is>
      </c>
      <c r="C49" s="49" t="inlineStr">
        <is>
          <t>EG Production</t>
        </is>
      </c>
      <c r="D49" s="49" t="inlineStr">
        <is>
          <t>Project manager (декорации, Event/BTL/Exp) + спец. по проектному документообороту</t>
        </is>
      </c>
      <c r="E49" s="50" t="inlineStr">
        <is>
          <t>https://spb.hh.ru/vacancies/spetsialist-po-upravleniyu-proektami</t>
        </is>
      </c>
      <c r="F49" s="46" t="inlineStr">
        <is>
          <t>office@eg-production.ru</t>
        </is>
      </c>
      <c r="G49" s="46" t="inlineStr">
        <is>
          <t>+7 (812) 456-78-44; Telegram +7 (981) 799-80-30</t>
        </is>
      </c>
      <c r="H49" s="46" t="inlineStr">
        <is>
          <t>Отдельных HR-контактов не найдено</t>
        </is>
      </c>
      <c r="I49" s="46" t="inlineStr">
        <is>
          <t>https://eg-production.ru</t>
        </is>
      </c>
      <c r="J49" s="49" t="inlineStr">
        <is>
          <t>?</t>
        </is>
      </c>
      <c r="K49" s="49" t="inlineStr">
        <is>
          <t>?</t>
        </is>
      </c>
      <c r="L49" s="49" t="inlineStr">
        <is>
          <t>100–200 тыс.; 3–6 лет</t>
        </is>
      </c>
      <c r="M49" s="49" t="inlineStr">
        <is>
          <t>?</t>
        </is>
      </c>
      <c r="N49" s="49" t="inlineStr">
        <is>
          <t>не найдена в каталогах</t>
        </is>
      </c>
      <c r="O49" s="49" t="inlineStr">
        <is>
          <t>низкая</t>
        </is>
      </c>
      <c r="P49" s="49" t="inlineStr">
        <is>
          <t>Не проверено (?)</t>
        </is>
      </c>
      <c r="Q49" s="49" t="n">
        <v>2</v>
      </c>
      <c r="R49" s="49" t="n"/>
      <c r="S49" s="44" t="inlineStr">
        <is>
          <t>https://eg-production.ru/contacts</t>
        </is>
      </c>
    </row>
    <row r="50" ht="23.85" customHeight="1" s="26">
      <c r="A50" s="49" t="n">
        <v>49</v>
      </c>
      <c r="B50" s="49" t="inlineStr">
        <is>
          <t>4 — не проверено</t>
        </is>
      </c>
      <c r="C50" s="49" t="inlineStr">
        <is>
          <t>Отель Консалт (Lahta Plaza 4*)</t>
        </is>
      </c>
      <c r="D50" s="49" t="inlineStr">
        <is>
          <t>Координатор мероприятий; Event-менеджер</t>
        </is>
      </c>
      <c r="E50" s="50" t="inlineStr">
        <is>
          <t>https://spb.hh.ru/vacancies/organizator-meropriyatij</t>
        </is>
      </c>
      <c r="F50" s="46" t="inlineStr">
        <is>
          <t>booking@lahtaplaza.ru</t>
        </is>
      </c>
      <c r="G50" s="46" t="inlineStr">
        <is>
          <t>+7 (812) 635-05-55; +7 (921) 434-42-14</t>
        </is>
      </c>
      <c r="H50" s="46" t="inlineStr">
        <is>
          <t>Отдельных HR-контактов не найдено</t>
        </is>
      </c>
      <c r="I50" s="46" t="inlineStr">
        <is>
          <t>https://lahtaplaza.ru</t>
        </is>
      </c>
      <c r="J50" s="49" t="inlineStr">
        <is>
          <t>?</t>
        </is>
      </c>
      <c r="K50" s="49" t="inlineStr">
        <is>
          <t>?</t>
        </is>
      </c>
      <c r="L50" s="49" t="inlineStr">
        <is>
          <t>от 75 тыс.; 1–3 года</t>
        </is>
      </c>
      <c r="M50" s="49" t="inlineStr">
        <is>
          <t>?</t>
        </is>
      </c>
      <c r="N50" s="49" t="inlineStr">
        <is>
          <t>не найдена в каталогах</t>
        </is>
      </c>
      <c r="O50" s="49" t="inlineStr">
        <is>
          <t>низкая</t>
        </is>
      </c>
      <c r="P50" s="49" t="inlineStr">
        <is>
          <t>Не проверено (?)</t>
        </is>
      </c>
      <c r="Q50" s="49" t="n">
        <v>2</v>
      </c>
      <c r="R50" s="49" t="n"/>
      <c r="S50" s="44" t="inlineStr">
        <is>
          <t>https://lahtaplaza.ru/contact</t>
        </is>
      </c>
    </row>
    <row r="51" ht="23.85" customHeight="1" s="26">
      <c r="A51" s="49" t="n">
        <v>50</v>
      </c>
      <c r="B51" s="49" t="inlineStr">
        <is>
          <t>4 — не проверено</t>
        </is>
      </c>
      <c r="C51" s="49" t="inlineStr">
        <is>
          <t>MUZLOTO</t>
        </is>
      </c>
      <c r="D51" s="49" t="inlineStr">
        <is>
          <t>Корпоративный event-менеджер; спец. сопровождения регистраций</t>
        </is>
      </c>
      <c r="E51" s="50" t="inlineStr">
        <is>
          <t>https://spb.hh.ru/vacancies/veduschij-meropriyatij</t>
        </is>
      </c>
      <c r="F51" s="46" t="inlineStr">
        <is>
          <t>info@muzloto.ru</t>
        </is>
      </c>
      <c r="G51" s="46" t="inlineStr">
        <is>
          <t>+7 (812) 214-57-69</t>
        </is>
      </c>
      <c r="H51" s="46" t="inlineStr">
        <is>
          <t>Отдельных HR-контактов не найдено</t>
        </is>
      </c>
      <c r="I51" s="46" t="inlineStr">
        <is>
          <t>https://muzloto.ru</t>
        </is>
      </c>
      <c r="J51" s="49" t="inlineStr">
        <is>
          <t>?</t>
        </is>
      </c>
      <c r="K51" s="49" t="inlineStr">
        <is>
          <t>?</t>
        </is>
      </c>
      <c r="L51" s="49" t="inlineStr">
        <is>
          <t>125–250 тыс.; 1–3 года</t>
        </is>
      </c>
      <c r="M51" s="49" t="inlineStr">
        <is>
          <t>?</t>
        </is>
      </c>
      <c r="N51" s="49" t="inlineStr">
        <is>
          <t>не найдена в каталогах</t>
        </is>
      </c>
      <c r="O51" s="49" t="inlineStr">
        <is>
          <t>низкая</t>
        </is>
      </c>
      <c r="P51" s="49" t="inlineStr">
        <is>
          <t>Не проверено (?)</t>
        </is>
      </c>
      <c r="Q51" s="49" t="n">
        <v>2</v>
      </c>
      <c r="R51" s="49" t="n"/>
      <c r="S51" s="44" t="inlineStr">
        <is>
          <t>https://muzloto.ru/contacts</t>
        </is>
      </c>
    </row>
    <row r="52" ht="23.85" customHeight="1" s="26">
      <c r="A52" s="49" t="n">
        <v>51</v>
      </c>
      <c r="B52" s="49" t="inlineStr">
        <is>
          <t>4 — не проверено</t>
        </is>
      </c>
      <c r="C52" s="49" t="inlineStr">
        <is>
          <t>EventyOn</t>
        </is>
      </c>
      <c r="D52" s="49" t="inlineStr">
        <is>
          <t>Ведущий / координатор / event-менеджер</t>
        </is>
      </c>
      <c r="E52" s="50" t="inlineStr">
        <is>
          <t>https://spb.hh.ru/vacancies/veduschij-meropriyatij</t>
        </is>
      </c>
      <c r="F52" s="46" t="inlineStr">
        <is>
          <t>spb@eventyon.ru</t>
        </is>
      </c>
      <c r="G52" s="46" t="inlineStr">
        <is>
          <t>+7 (812) 611-23-63</t>
        </is>
      </c>
      <c r="H52" s="46" t="inlineStr">
        <is>
          <t>Отдельных HR-контактов не найдено</t>
        </is>
      </c>
      <c r="I52" s="46" t="inlineStr">
        <is>
          <t>https://spb.eventyon.ru</t>
        </is>
      </c>
      <c r="J52" s="49" t="inlineStr">
        <is>
          <t>?</t>
        </is>
      </c>
      <c r="K52" s="49" t="inlineStr">
        <is>
          <t>?</t>
        </is>
      </c>
      <c r="L52" s="49" t="inlineStr">
        <is>
          <t>60–120 тыс.; 1–3 года</t>
        </is>
      </c>
      <c r="M52" s="49" t="inlineStr">
        <is>
          <t>?</t>
        </is>
      </c>
      <c r="N52" s="49" t="inlineStr">
        <is>
          <t>не найдена в каталогах</t>
        </is>
      </c>
      <c r="O52" s="49" t="inlineStr">
        <is>
          <t>низкая</t>
        </is>
      </c>
      <c r="P52" s="49" t="inlineStr">
        <is>
          <t>Не проверено (?)</t>
        </is>
      </c>
      <c r="Q52" s="49" t="n">
        <v>2</v>
      </c>
      <c r="R52" s="49" t="n"/>
      <c r="S52" s="44" t="inlineStr">
        <is>
          <t>https://spb.eventyon.ru/contacts/</t>
        </is>
      </c>
    </row>
    <row r="53" ht="23.85" customHeight="1" s="26">
      <c r="A53" s="49" t="n">
        <v>52</v>
      </c>
      <c r="B53" s="49" t="inlineStr">
        <is>
          <t>4 — не проверено</t>
        </is>
      </c>
      <c r="C53" s="49" t="inlineStr">
        <is>
          <t>ИГРОФЕСТ</t>
        </is>
      </c>
      <c r="D53" s="49" t="inlineStr">
        <is>
          <t>Event-менеджер / менеджер проектов (IGM)</t>
        </is>
      </c>
      <c r="E53" s="50" t="inlineStr">
        <is>
          <t>https://spb.hh.ru/vacancies/organizator-meropriyatij</t>
        </is>
      </c>
      <c r="F53" s="46" t="inlineStr">
        <is>
          <t>не найдена</t>
        </is>
      </c>
      <c r="G53" s="46" t="inlineStr">
        <is>
          <t>не найден</t>
        </is>
      </c>
      <c r="H53" s="46" t="inlineStr">
        <is>
          <t>Отклик через hh; ЕГРЮЛ: ООО «Игрофест», Ленинский пр., 153, ген. дир. Зыкова М. А.</t>
        </is>
      </c>
      <c r="I53" s="46" t="inlineStr">
        <is>
          <t>не найден</t>
        </is>
      </c>
      <c r="J53" s="49" t="inlineStr">
        <is>
          <t>?</t>
        </is>
      </c>
      <c r="K53" s="49" t="inlineStr">
        <is>
          <t>?</t>
        </is>
      </c>
      <c r="L53" s="49" t="inlineStr">
        <is>
          <t>от 120 тыс.; 3–6 лет</t>
        </is>
      </c>
      <c r="M53" s="49" t="inlineStr">
        <is>
          <t>?</t>
        </is>
      </c>
      <c r="N53" s="49" t="inlineStr">
        <is>
          <t>не найдена в каталогах</t>
        </is>
      </c>
      <c r="O53" s="49" t="inlineStr">
        <is>
          <t>низкая</t>
        </is>
      </c>
      <c r="P53" s="49" t="inlineStr">
        <is>
          <t>Не проверено (?)</t>
        </is>
      </c>
      <c r="Q53" s="49" t="n">
        <v>2</v>
      </c>
      <c r="R53" s="49" t="n"/>
      <c r="S53" s="44" t="inlineStr">
        <is>
          <t>https://www.rusprofile.ru/id/11863239</t>
        </is>
      </c>
    </row>
    <row r="54" ht="23.85" customHeight="1" s="26">
      <c r="A54" s="49" t="n">
        <v>53</v>
      </c>
      <c r="B54" s="49" t="inlineStr">
        <is>
          <t>4 — не проверено</t>
        </is>
      </c>
      <c r="C54" s="49" t="inlineStr">
        <is>
          <t>Team For Dream</t>
        </is>
      </c>
      <c r="D54" s="49" t="inlineStr">
        <is>
          <t>Event-менеджер (middle / старший)</t>
        </is>
      </c>
      <c r="E54" s="50" t="inlineStr">
        <is>
          <t>https://spb.zarplata.ru/vacancies/organizator-meropriyatij</t>
        </is>
      </c>
      <c r="F54" s="46" t="inlineStr">
        <is>
          <t>mail@tfd-agency.ru</t>
        </is>
      </c>
      <c r="G54" s="46" t="inlineStr">
        <is>
          <t>+7 (812) 331-33-51</t>
        </is>
      </c>
      <c r="H54" s="46" t="inlineStr">
        <is>
          <t>Отдельных HR-контактов не найдено</t>
        </is>
      </c>
      <c r="I54" s="46" t="inlineStr">
        <is>
          <t>https://tfd-agency.ru</t>
        </is>
      </c>
      <c r="J54" s="49" t="inlineStr">
        <is>
          <t>?</t>
        </is>
      </c>
      <c r="K54" s="49" t="inlineStr">
        <is>
          <t>?</t>
        </is>
      </c>
      <c r="L54" s="49" t="inlineStr">
        <is>
          <t>от 100 тыс.; 1–3 года</t>
        </is>
      </c>
      <c r="M54" s="49" t="inlineStr">
        <is>
          <t>?</t>
        </is>
      </c>
      <c r="N54" s="49" t="inlineStr">
        <is>
          <t>не найдена в каталогах</t>
        </is>
      </c>
      <c r="O54" s="49" t="inlineStr">
        <is>
          <t>низкая</t>
        </is>
      </c>
      <c r="P54" s="49" t="inlineStr">
        <is>
          <t>Не проверено (?)</t>
        </is>
      </c>
      <c r="Q54" s="49" t="n">
        <v>2</v>
      </c>
      <c r="R54" s="49" t="n"/>
      <c r="S54" s="44" t="inlineStr">
        <is>
          <t>https://tfd-agency.ru/</t>
        </is>
      </c>
    </row>
    <row r="55" ht="23.85" customHeight="1" s="26">
      <c r="A55" s="49" t="n">
        <v>54</v>
      </c>
      <c r="B55" s="49" t="inlineStr">
        <is>
          <t>4 — не проверено</t>
        </is>
      </c>
      <c r="C55" s="49" t="inlineStr">
        <is>
          <t>Клевцов Авто (ООО Кобра)</t>
        </is>
      </c>
      <c r="D55" s="49" t="inlineStr">
        <is>
          <t>Event-менеджер в бизнес-клуб</t>
        </is>
      </c>
      <c r="E55" s="50" t="inlineStr">
        <is>
          <t>https://spb.zarplata.ru/vacancies/organizator-meropriyatij</t>
        </is>
      </c>
      <c r="F55" s="46" t="inlineStr">
        <is>
          <t>не найдена</t>
        </is>
      </c>
      <c r="G55" s="46" t="inlineStr">
        <is>
          <t>+7 (964) 726-35-93; +7 (931) 272-14-44 (Богатырский пр., 14к2 — проверить)</t>
        </is>
      </c>
      <c r="H55" s="46" t="inlineStr">
        <is>
          <t>Отдельных HR-контактов не найдено</t>
        </is>
      </c>
      <c r="I55" s="46" t="inlineStr">
        <is>
          <t>не найден</t>
        </is>
      </c>
      <c r="J55" s="49" t="inlineStr">
        <is>
          <t>?</t>
        </is>
      </c>
      <c r="K55" s="49" t="inlineStr">
        <is>
          <t>?</t>
        </is>
      </c>
      <c r="L55" s="49" t="inlineStr">
        <is>
          <t>80–200 тыс.; 1–3 года</t>
        </is>
      </c>
      <c r="M55" s="49" t="inlineStr">
        <is>
          <t>?</t>
        </is>
      </c>
      <c r="N55" s="49" t="inlineStr">
        <is>
          <t>не найдена в каталогах</t>
        </is>
      </c>
      <c r="O55" s="49" t="inlineStr">
        <is>
          <t>низкая</t>
        </is>
      </c>
      <c r="P55" s="49" t="inlineStr">
        <is>
          <t>Не проверено (?)</t>
        </is>
      </c>
      <c r="Q55" s="49" t="n">
        <v>2</v>
      </c>
      <c r="R55" s="49" t="n"/>
      <c r="S55" s="44" t="inlineStr">
        <is>
          <t>поиск по агрегаторам автосалонов</t>
        </is>
      </c>
    </row>
    <row r="56" ht="23.85" customHeight="1" s="26">
      <c r="A56" s="49" t="n">
        <v>55</v>
      </c>
      <c r="B56" s="49" t="inlineStr">
        <is>
          <t>4 — не проверено</t>
        </is>
      </c>
      <c r="C56" s="49" t="inlineStr">
        <is>
          <t>FutureToday</t>
        </is>
      </c>
      <c r="D56" s="49" t="inlineStr">
        <is>
          <t>Event-менеджер / стажёр</t>
        </is>
      </c>
      <c r="E56" s="50" t="inlineStr">
        <is>
          <t>https://spb.hh.ru/vacancies/organizator-meropriyatij</t>
        </is>
      </c>
      <c r="F56" s="46" t="inlineStr">
        <is>
          <t>media@futuretoday.ru</t>
        </is>
      </c>
      <c r="G56" s="46" t="inlineStr">
        <is>
          <t>+7 (812) 328-28-28</t>
        </is>
      </c>
      <c r="H56" s="46" t="inlineStr">
        <is>
          <t>Карьерная страница на Хабр Карьере (career.habr.com/companies/futuretoday)</t>
        </is>
      </c>
      <c r="I56" s="46" t="inlineStr">
        <is>
          <t>https://fut.ru</t>
        </is>
      </c>
      <c r="J56" s="49" t="inlineStr">
        <is>
          <t>?</t>
        </is>
      </c>
      <c r="K56" s="49" t="inlineStr">
        <is>
          <t>?</t>
        </is>
      </c>
      <c r="L56" s="49" t="inlineStr">
        <is>
          <t>до 50 тыс.; без опыта</t>
        </is>
      </c>
      <c r="M56" s="49" t="inlineStr">
        <is>
          <t>?</t>
        </is>
      </c>
      <c r="N56" s="49" t="inlineStr">
        <is>
          <t>не найдена в каталогах</t>
        </is>
      </c>
      <c r="O56" s="49" t="inlineStr">
        <is>
          <t>низкая</t>
        </is>
      </c>
      <c r="P56" s="49" t="inlineStr">
        <is>
          <t>Не проверено (?)</t>
        </is>
      </c>
      <c r="Q56" s="49" t="n">
        <v>2</v>
      </c>
      <c r="R56" s="49" t="n"/>
      <c r="S56" s="44" t="inlineStr">
        <is>
          <t>https://career.habr.com/companies/futuretoday</t>
        </is>
      </c>
    </row>
    <row r="57" ht="23.85" customHeight="1" s="26">
      <c r="A57" s="49" t="n">
        <v>56</v>
      </c>
      <c r="B57" s="49" t="inlineStr">
        <is>
          <t>4 — не проверено</t>
        </is>
      </c>
      <c r="C57" s="49" t="inlineStr">
        <is>
          <t>Алабуга. Менеджмент</t>
        </is>
      </c>
      <c r="D57" s="49" t="inlineStr">
        <is>
          <t>Менеджер по сопровождению делегаций</t>
        </is>
      </c>
      <c r="E57" s="50" t="inlineStr">
        <is>
          <t>https://spb.hh.ru/vacancies/menedzher_po_organizacii_meropriyatiy</t>
        </is>
      </c>
      <c r="F57" s="46" t="inlineStr">
        <is>
          <t>post@alabuga.ru; reception@alabuga.ru</t>
        </is>
      </c>
      <c r="G57" s="46" t="inlineStr">
        <is>
          <t>+7 (85557) 5-90-00</t>
        </is>
      </c>
      <c r="H57" s="46" t="inlineStr">
        <is>
          <t>Карьерная страница на Хабр Карьере (career.habr.com/companies/alabuga)</t>
        </is>
      </c>
      <c r="I57" s="46" t="inlineStr">
        <is>
          <t>https://alabuga.ru</t>
        </is>
      </c>
      <c r="J57" s="49" t="inlineStr">
        <is>
          <t>?</t>
        </is>
      </c>
      <c r="K57" s="49" t="inlineStr">
        <is>
          <t>?</t>
        </is>
      </c>
      <c r="L57" s="49" t="inlineStr">
        <is>
          <t>от 127,5 тыс.; 1–3 года</t>
        </is>
      </c>
      <c r="M57" s="49" t="inlineStr">
        <is>
          <t>?</t>
        </is>
      </c>
      <c r="N57" s="49" t="inlineStr">
        <is>
          <t>не найдена в каталогах</t>
        </is>
      </c>
      <c r="O57" s="49" t="inlineStr">
        <is>
          <t>низкая</t>
        </is>
      </c>
      <c r="P57" s="49" t="inlineStr">
        <is>
          <t>Не проверено (?)</t>
        </is>
      </c>
      <c r="Q57" s="49" t="n">
        <v>2</v>
      </c>
      <c r="R57" s="49" t="inlineStr">
        <is>
          <t>Вероятно Б4 Б6</t>
        </is>
      </c>
      <c r="S57" s="44" t="inlineStr">
        <is>
          <t>https://alabuga.ru/ru/contacts/</t>
        </is>
      </c>
    </row>
    <row r="58" ht="23.85" customHeight="1" s="26">
      <c r="A58" s="49" t="n">
        <v>57</v>
      </c>
      <c r="B58" s="49" t="inlineStr">
        <is>
          <t>4 — не проверено</t>
        </is>
      </c>
      <c r="C58" s="49" t="inlineStr">
        <is>
          <t>ЕВМ</t>
        </is>
      </c>
      <c r="D58" s="49" t="inlineStr">
        <is>
          <t>Руководитель event-проектов</t>
        </is>
      </c>
      <c r="E58" s="50" t="inlineStr">
        <is>
          <t>https://spb.hh.ru/vacancies/project_manager</t>
        </is>
      </c>
      <c r="F58" s="46" t="inlineStr">
        <is>
          <t>crm@ebm.spb.ru</t>
        </is>
      </c>
      <c r="G58" s="46" t="inlineStr">
        <is>
          <t>+7 (812) 982-34-30</t>
        </is>
      </c>
      <c r="H58" s="46" t="inlineStr">
        <is>
          <t>Отдельных HR-контактов не найдено</t>
        </is>
      </c>
      <c r="I58" s="46" t="inlineStr">
        <is>
          <t>https://evmcorp.com</t>
        </is>
      </c>
      <c r="J58" s="49" t="inlineStr">
        <is>
          <t>?</t>
        </is>
      </c>
      <c r="K58" s="49" t="inlineStr">
        <is>
          <t>?</t>
        </is>
      </c>
      <c r="L58" s="49" t="inlineStr">
        <is>
          <t>?; 3–6 лет</t>
        </is>
      </c>
      <c r="M58" s="49" t="inlineStr">
        <is>
          <t>?</t>
        </is>
      </c>
      <c r="N58" s="49" t="inlineStr">
        <is>
          <t>не найдена в каталогах</t>
        </is>
      </c>
      <c r="O58" s="49" t="inlineStr">
        <is>
          <t>низкая</t>
        </is>
      </c>
      <c r="P58" s="49" t="inlineStr">
        <is>
          <t>Не проверено (?)</t>
        </is>
      </c>
      <c r="Q58" s="49" t="n">
        <v>2</v>
      </c>
      <c r="R58" s="49" t="n"/>
      <c r="S58" s="44" t="inlineStr">
        <is>
          <t>https://evmcorp.com/kontakty</t>
        </is>
      </c>
    </row>
    <row r="59" ht="23.85" customHeight="1" s="26">
      <c r="A59" s="49" t="n">
        <v>58</v>
      </c>
      <c r="B59" s="49" t="inlineStr">
        <is>
          <t>4 — не проверено</t>
        </is>
      </c>
      <c r="C59" s="49" t="inlineStr">
        <is>
          <t>Ай Си Эс («Человек и его здоровье»)</t>
        </is>
      </c>
      <c r="D59" s="49" t="inlineStr">
        <is>
          <t>Менеджер медицинских научно-практических мероприятий</t>
        </is>
      </c>
      <c r="E59" s="50" t="inlineStr">
        <is>
          <t>https://spb.zarplata.ru/vacancies/menedzher-po-organizatsii-vystavok</t>
        </is>
      </c>
      <c r="F59" s="46" t="inlineStr">
        <is>
          <t>ph@peterlink.ru</t>
        </is>
      </c>
      <c r="G59" s="46" t="inlineStr">
        <is>
          <t>+7 (812) 677-31-16</t>
        </is>
      </c>
      <c r="H59" s="46" t="inlineStr">
        <is>
          <t>Отдельных HR-контактов не найдено</t>
        </is>
      </c>
      <c r="I59" s="46" t="inlineStr">
        <is>
          <t>https://congress-ph.ru</t>
        </is>
      </c>
      <c r="J59" s="49" t="inlineStr">
        <is>
          <t>?</t>
        </is>
      </c>
      <c r="K59" s="49" t="inlineStr">
        <is>
          <t>?</t>
        </is>
      </c>
      <c r="L59" s="49" t="inlineStr">
        <is>
          <t>от 100 тыс.; 3–6 лет</t>
        </is>
      </c>
      <c r="M59" s="49" t="inlineStr">
        <is>
          <t>?</t>
        </is>
      </c>
      <c r="N59" s="49" t="inlineStr">
        <is>
          <t>не найдена в каталогах</t>
        </is>
      </c>
      <c r="O59" s="49" t="inlineStr">
        <is>
          <t>низкая</t>
        </is>
      </c>
      <c r="P59" s="49" t="inlineStr">
        <is>
          <t>Не проверено (?)</t>
        </is>
      </c>
      <c r="Q59" s="49" t="n">
        <v>2</v>
      </c>
      <c r="R59" s="49" t="n"/>
      <c r="S59" s="44" t="inlineStr">
        <is>
          <t>https://congress-ph.ru/about</t>
        </is>
      </c>
    </row>
    <row r="60" ht="23.85" customHeight="1" s="26">
      <c r="A60" s="49" t="n">
        <v>59</v>
      </c>
      <c r="B60" s="49" t="inlineStr">
        <is>
          <t>4 — не проверено</t>
        </is>
      </c>
      <c r="C60" s="49" t="inlineStr">
        <is>
          <t>VOZDUKH Wedding Agency</t>
        </is>
      </c>
      <c r="D60" s="49" t="inlineStr">
        <is>
          <t>Организатор / event-manager (project)</t>
        </is>
      </c>
      <c r="E60" s="50" t="inlineStr">
        <is>
          <t>https://spb.zarplata.ru/vacancies</t>
        </is>
      </c>
      <c r="F60" s="46" t="inlineStr">
        <is>
          <t>vozdukh.weddings@yandex.ru</t>
        </is>
      </c>
      <c r="G60" s="46" t="inlineStr">
        <is>
          <t>+7 (495) 132-43-22; Telegram vozdukhwed</t>
        </is>
      </c>
      <c r="H60" s="46" t="inlineStr">
        <is>
          <t>Отдельных HR-контактов не найдено</t>
        </is>
      </c>
      <c r="I60" s="46" t="inlineStr">
        <is>
          <t>https://vozdukh-weddings.ru</t>
        </is>
      </c>
      <c r="J60" s="49" t="inlineStr">
        <is>
          <t>?</t>
        </is>
      </c>
      <c r="K60" s="49" t="inlineStr">
        <is>
          <t>?</t>
        </is>
      </c>
      <c r="L60" s="49" t="inlineStr">
        <is>
          <t>80–180 тыс.; 1–3 года</t>
        </is>
      </c>
      <c r="M60" s="49" t="inlineStr">
        <is>
          <t>?</t>
        </is>
      </c>
      <c r="N60" s="49" t="inlineStr">
        <is>
          <t>не найдена в каталогах</t>
        </is>
      </c>
      <c r="O60" s="49" t="inlineStr">
        <is>
          <t>низкая</t>
        </is>
      </c>
      <c r="P60" s="49" t="inlineStr">
        <is>
          <t>Не проверено (?)</t>
        </is>
      </c>
      <c r="Q60" s="49" t="n">
        <v>2</v>
      </c>
      <c r="R60" s="49" t="inlineStr">
        <is>
          <t>Б5 частично</t>
        </is>
      </c>
      <c r="S60" s="44" t="inlineStr">
        <is>
          <t>https://vozdukh-weddings.ru/</t>
        </is>
      </c>
    </row>
    <row r="61" ht="23.85" customHeight="1" s="26">
      <c r="A61" s="49" t="n">
        <v>60</v>
      </c>
      <c r="B61" s="49" t="inlineStr">
        <is>
          <t>4 — не проверено</t>
        </is>
      </c>
      <c r="C61" s="49" t="inlineStr">
        <is>
          <t>СПб ГАУ ЦСП сборных команд СПб</t>
        </is>
      </c>
      <c r="D61" s="49" t="inlineStr">
        <is>
          <t>Специалист по спортивно-массовым мероприятиям</t>
        </is>
      </c>
      <c r="E61" s="50" t="inlineStr">
        <is>
          <t>https://spb.hh.ru/vacancies/veduschij-meropriyatij</t>
        </is>
      </c>
      <c r="F61" s="46" t="inlineStr">
        <is>
          <t>info.cpsk@sport.gugov.spb.ru</t>
        </is>
      </c>
      <c r="G61" s="46" t="inlineStr">
        <is>
          <t>+7 (812) 314-92-34</t>
        </is>
      </c>
      <c r="H61" s="46" t="inlineStr">
        <is>
          <t>Отдельных HR-контактов не найдено</t>
        </is>
      </c>
      <c r="I61" s="46" t="inlineStr">
        <is>
          <t>http://cpsk.kfis.gov.spb.ru</t>
        </is>
      </c>
      <c r="J61" s="49" t="inlineStr">
        <is>
          <t>?</t>
        </is>
      </c>
      <c r="K61" s="49" t="inlineStr">
        <is>
          <t>?</t>
        </is>
      </c>
      <c r="L61" s="49" t="inlineStr">
        <is>
          <t>47–75 тыс.; 1–3 года</t>
        </is>
      </c>
      <c r="M61" s="49" t="inlineStr">
        <is>
          <t>?</t>
        </is>
      </c>
      <c r="N61" s="49" t="inlineStr">
        <is>
          <t>не найдена в каталогах</t>
        </is>
      </c>
      <c r="O61" s="49" t="inlineStr">
        <is>
          <t>низкая</t>
        </is>
      </c>
      <c r="P61" s="49" t="inlineStr">
        <is>
          <t>Не проверено (?)</t>
        </is>
      </c>
      <c r="Q61" s="49" t="n">
        <v>2</v>
      </c>
      <c r="R61" s="49" t="n"/>
      <c r="S61" s="44" t="inlineStr">
        <is>
          <t>http://cpsk.kfis.spb.ru/?page_id=49</t>
        </is>
      </c>
    </row>
    <row r="62" ht="23.85" customHeight="1" s="26">
      <c r="A62" s="49" t="n">
        <v>61</v>
      </c>
      <c r="B62" s="49" t="inlineStr">
        <is>
          <t>4 — не проверено</t>
        </is>
      </c>
      <c r="C62" s="49" t="inlineStr">
        <is>
          <t>СПб ГБУ Центр спорта Выборгского р-на</t>
        </is>
      </c>
      <c r="D62" s="49" t="inlineStr">
        <is>
          <t>Специалист по спортивно-массовым мероприятиям</t>
        </is>
      </c>
      <c r="E62" s="50" t="inlineStr">
        <is>
          <t>https://sankt-peterburg-region.jobfilter.ru/</t>
        </is>
      </c>
      <c r="F62" s="46" t="inlineStr">
        <is>
          <t>cfksz.vyb@mail.ru</t>
        </is>
      </c>
      <c r="G62" s="46" t="inlineStr">
        <is>
          <t>+7 (812) 576-56-57</t>
        </is>
      </c>
      <c r="H62" s="46" t="inlineStr">
        <is>
          <t>Отдельных HR-контактов не найдено</t>
        </is>
      </c>
      <c r="I62" s="46" t="inlineStr">
        <is>
          <t>https://gu319.site.gov.spb.ru</t>
        </is>
      </c>
      <c r="J62" s="49" t="inlineStr">
        <is>
          <t>?</t>
        </is>
      </c>
      <c r="K62" s="49" t="inlineStr">
        <is>
          <t>?</t>
        </is>
      </c>
      <c r="L62" s="49" t="inlineStr">
        <is>
          <t>48–77 тыс.; ?</t>
        </is>
      </c>
      <c r="M62" s="49" t="inlineStr">
        <is>
          <t>?</t>
        </is>
      </c>
      <c r="N62" s="49" t="inlineStr">
        <is>
          <t>не найдена в каталогах</t>
        </is>
      </c>
      <c r="O62" s="49" t="inlineStr">
        <is>
          <t>низкая</t>
        </is>
      </c>
      <c r="P62" s="49" t="inlineStr">
        <is>
          <t>Не проверено (?)</t>
        </is>
      </c>
      <c r="Q62" s="49" t="n">
        <v>2</v>
      </c>
      <c r="R62" s="49" t="n"/>
      <c r="S62" s="44" t="inlineStr">
        <is>
          <t>https://gu319.site.gov.spb.ru/</t>
        </is>
      </c>
    </row>
    <row r="63" ht="23.85" customHeight="1" s="26">
      <c r="A63" s="49" t="n">
        <v>62</v>
      </c>
      <c r="B63" s="49" t="inlineStr">
        <is>
          <t>4 — не проверено</t>
        </is>
      </c>
      <c r="C63" s="49" t="inlineStr">
        <is>
          <t>СПб ГБУ Дом молодёжи «Рекорд»</t>
        </is>
      </c>
      <c r="D63" s="49" t="inlineStr">
        <is>
          <t>Режиссёр (специалист по организации мероприятий)</t>
        </is>
      </c>
      <c r="E63" s="50" t="inlineStr">
        <is>
          <t>https://sankt-peterburg.gorodrabot.ru/</t>
        </is>
      </c>
      <c r="F63" s="46" t="inlineStr">
        <is>
          <t>dm-record@mail.ru</t>
        </is>
      </c>
      <c r="G63" s="46" t="inlineStr">
        <is>
          <t>+7 (812) 495-12-68; +7 (812) 714-21-14</t>
        </is>
      </c>
      <c r="H63" s="46" t="inlineStr">
        <is>
          <t>Отдельных HR-контактов не найдено</t>
        </is>
      </c>
      <c r="I63" s="46" t="inlineStr">
        <is>
          <t>http://dmrecord.admiral.gov.spb.ru</t>
        </is>
      </c>
      <c r="J63" s="49" t="inlineStr">
        <is>
          <t>?</t>
        </is>
      </c>
      <c r="K63" s="49" t="inlineStr">
        <is>
          <t>?</t>
        </is>
      </c>
      <c r="L63" s="49" t="inlineStr">
        <is>
          <t>?; без опыта</t>
        </is>
      </c>
      <c r="M63" s="49" t="inlineStr">
        <is>
          <t>?</t>
        </is>
      </c>
      <c r="N63" s="49" t="inlineStr">
        <is>
          <t>не найдена в каталогах</t>
        </is>
      </c>
      <c r="O63" s="49" t="inlineStr">
        <is>
          <t>низкая</t>
        </is>
      </c>
      <c r="P63" s="49" t="inlineStr">
        <is>
          <t>Не проверено (?)</t>
        </is>
      </c>
      <c r="Q63" s="49" t="n">
        <v>2</v>
      </c>
      <c r="R63" s="49" t="n"/>
      <c r="S63" s="44" t="inlineStr">
        <is>
          <t>http://dmrecord.admiral.gov.spb.ru/</t>
        </is>
      </c>
    </row>
    <row r="64" ht="23.85" customHeight="1" s="26">
      <c r="A64" s="49" t="n">
        <v>63</v>
      </c>
      <c r="B64" s="49" t="inlineStr">
        <is>
          <t>4 — не проверено</t>
        </is>
      </c>
      <c r="C64" s="49" t="inlineStr">
        <is>
          <t>РАНХиГС, Северо-Западный институт управления</t>
        </is>
      </c>
      <c r="D64" s="49" t="inlineStr">
        <is>
          <t>Проектный менеджер (маркетинговые и имиджевые мероприятия)</t>
        </is>
      </c>
      <c r="E64" s="50" t="inlineStr">
        <is>
          <t>https://spb.superjob.ru/vakansii/menedzher-proekta.html</t>
        </is>
      </c>
      <c r="F64" s="46" t="inlineStr">
        <is>
          <t>sziu@ranepa.ru</t>
        </is>
      </c>
      <c r="G64" s="46" t="inlineStr">
        <is>
          <t>+7 (812) 335-94-94</t>
        </is>
      </c>
      <c r="H64" s="46" t="inlineStr">
        <is>
          <t>Отдельных HR-контактов не найдено</t>
        </is>
      </c>
      <c r="I64" s="46" t="inlineStr">
        <is>
          <t>https://sziu.ranepa.ru</t>
        </is>
      </c>
      <c r="J64" s="49" t="inlineStr">
        <is>
          <t>?</t>
        </is>
      </c>
      <c r="K64" s="49" t="inlineStr">
        <is>
          <t>?</t>
        </is>
      </c>
      <c r="L64" s="49" t="inlineStr">
        <is>
          <t>30–35 тыс.; от 1 года</t>
        </is>
      </c>
      <c r="M64" s="49" t="inlineStr">
        <is>
          <t>?</t>
        </is>
      </c>
      <c r="N64" s="49" t="inlineStr">
        <is>
          <t>не найдена в каталогах</t>
        </is>
      </c>
      <c r="O64" s="49" t="inlineStr">
        <is>
          <t>низкая</t>
        </is>
      </c>
      <c r="P64" s="49" t="inlineStr">
        <is>
          <t>Не проверено (?)</t>
        </is>
      </c>
      <c r="Q64" s="49" t="n">
        <v>2</v>
      </c>
      <c r="R64" s="49" t="n"/>
      <c r="S64" s="44" t="inlineStr">
        <is>
          <t>https://spb.ranepa.ru/sveden/common/</t>
        </is>
      </c>
    </row>
    <row r="65" ht="23.85" customHeight="1" s="26">
      <c r="A65" s="49" t="n">
        <v>64</v>
      </c>
      <c r="B65" s="49" t="inlineStr">
        <is>
          <t>4 — не проверено</t>
        </is>
      </c>
      <c r="C65" s="49" t="inlineStr">
        <is>
          <t>МФЦ «Признание»</t>
        </is>
      </c>
      <c r="D65" s="49" t="inlineStr">
        <is>
          <t>Помощник менеджера по работе с партнёрами (event)</t>
        </is>
      </c>
      <c r="E65" s="50" t="inlineStr">
        <is>
          <t>https://spb.zarplata.ru/vacancies</t>
        </is>
      </c>
      <c r="F65" s="46" t="inlineStr">
        <is>
          <t>не найдена</t>
        </is>
      </c>
      <c r="G65" s="46" t="inlineStr">
        <is>
          <t>не найден</t>
        </is>
      </c>
      <c r="H65" s="46" t="inlineStr">
        <is>
          <t>Отклик через hh — организацию «Признание» в открытых источниках найти не удалось</t>
        </is>
      </c>
      <c r="I65" s="46" t="inlineStr">
        <is>
          <t>не найден</t>
        </is>
      </c>
      <c r="J65" s="49" t="inlineStr">
        <is>
          <t>?</t>
        </is>
      </c>
      <c r="K65" s="49" t="inlineStr">
        <is>
          <t>?</t>
        </is>
      </c>
      <c r="L65" s="49" t="inlineStr">
        <is>
          <t>50–70 тыс.; без опыта</t>
        </is>
      </c>
      <c r="M65" s="49" t="inlineStr">
        <is>
          <t>?</t>
        </is>
      </c>
      <c r="N65" s="49" t="inlineStr">
        <is>
          <t>не найдена в каталогах</t>
        </is>
      </c>
      <c r="O65" s="49" t="inlineStr">
        <is>
          <t>низкая</t>
        </is>
      </c>
      <c r="P65" s="49" t="inlineStr">
        <is>
          <t>Не проверено (?)</t>
        </is>
      </c>
      <c r="Q65" s="49" t="n">
        <v>2</v>
      </c>
      <c r="R65" s="49" t="n"/>
      <c r="S65" s="44" t="inlineStr">
        <is>
          <t>—</t>
        </is>
      </c>
    </row>
    <row r="66" ht="23.85" customHeight="1" s="26">
      <c r="A66" s="49" t="n">
        <v>65</v>
      </c>
      <c r="B66" s="49" t="inlineStr">
        <is>
          <t>4 — не проверено</t>
        </is>
      </c>
      <c r="C66" s="49" t="inlineStr">
        <is>
          <t>Фонд ФПР БК «Спартак СПб»</t>
        </is>
      </c>
      <c r="D66" s="49" t="inlineStr">
        <is>
          <t>Старший менеджер коммерческого отдела КСК</t>
        </is>
      </c>
      <c r="E66" s="50" t="inlineStr">
        <is>
          <t>https://spb.zarplata.ru/vacancies/menedzher-po-privlecheniyu-partnerov</t>
        </is>
      </c>
      <c r="F66" s="46" t="inlineStr">
        <is>
          <t>office@siburarena.com</t>
        </is>
      </c>
      <c r="G66" s="46" t="inlineStr">
        <is>
          <t>+7 (812) 336-88-81; +7 (812) 456-03-11</t>
        </is>
      </c>
      <c r="H66" s="46" t="inlineStr">
        <is>
          <t>Отдельных HR-контактов не найдено</t>
        </is>
      </c>
      <c r="I66" s="46" t="inlineStr">
        <is>
          <t>https://bc-spartak.ru</t>
        </is>
      </c>
      <c r="J66" s="49" t="inlineStr">
        <is>
          <t>?</t>
        </is>
      </c>
      <c r="K66" s="49" t="inlineStr">
        <is>
          <t>?</t>
        </is>
      </c>
      <c r="L66" s="49" t="inlineStr">
        <is>
          <t>от 150 тыс.; 3–6 лет</t>
        </is>
      </c>
      <c r="M66" s="49" t="inlineStr">
        <is>
          <t>?</t>
        </is>
      </c>
      <c r="N66" s="49" t="inlineStr">
        <is>
          <t>не найдена в каталогах</t>
        </is>
      </c>
      <c r="O66" s="49" t="inlineStr">
        <is>
          <t>низкая</t>
        </is>
      </c>
      <c r="P66" s="49" t="inlineStr">
        <is>
          <t>Не проверено (?)</t>
        </is>
      </c>
      <c r="Q66" s="49" t="n">
        <v>3</v>
      </c>
      <c r="R66" s="49" t="inlineStr">
        <is>
          <t>Аналог «Юбилейного»</t>
        </is>
      </c>
      <c r="S66" s="44" t="inlineStr">
        <is>
          <t>https://www.rusprofile.ru/id/3803424</t>
        </is>
      </c>
    </row>
    <row r="67" ht="23.85" customHeight="1" s="26">
      <c r="A67" s="49" t="n">
        <v>66</v>
      </c>
      <c r="B67" s="49" t="inlineStr">
        <is>
          <t>4 — не проверено</t>
        </is>
      </c>
      <c r="C67" s="49" t="inlineStr">
        <is>
          <t>СПб ГБУК «Петербург-концерт»</t>
        </is>
      </c>
      <c r="D67" s="49" t="inlineStr">
        <is>
          <t>Менеджер по работе с партнёрами (гастроли)</t>
        </is>
      </c>
      <c r="E67" s="50" t="inlineStr">
        <is>
          <t>https://petroconcert.spb.ru/vac</t>
        </is>
      </c>
      <c r="F67" s="46" t="inlineStr">
        <is>
          <t>director@petroconcert.spb.ru</t>
        </is>
      </c>
      <c r="G67" s="46" t="inlineStr">
        <is>
          <t>+7 (812) 779-10-90; +7 (812) 310-29-87</t>
        </is>
      </c>
      <c r="H67" s="46" t="inlineStr">
        <is>
          <t>Отдельных HR-контактов не найдено</t>
        </is>
      </c>
      <c r="I67" s="46" t="inlineStr">
        <is>
          <t>https://petroconcert.spb.ru</t>
        </is>
      </c>
      <c r="J67" s="49" t="inlineStr">
        <is>
          <t>?</t>
        </is>
      </c>
      <c r="K67" s="49" t="inlineStr">
        <is>
          <t>?</t>
        </is>
      </c>
      <c r="L67" s="49" t="inlineStr">
        <is>
          <t>?; ?</t>
        </is>
      </c>
      <c r="M67" s="49" t="inlineStr">
        <is>
          <t>?</t>
        </is>
      </c>
      <c r="N67" s="49" t="inlineStr">
        <is>
          <t>не найдена в каталогах</t>
        </is>
      </c>
      <c r="O67" s="49" t="inlineStr">
        <is>
          <t>низкая</t>
        </is>
      </c>
      <c r="P67" s="49" t="inlineStr">
        <is>
          <t>Не проверено (?)</t>
        </is>
      </c>
      <c r="Q67" s="49" t="n">
        <v>3</v>
      </c>
      <c r="R67" s="49" t="n"/>
      <c r="S67" s="44" t="inlineStr">
        <is>
          <t>https://petroconcert.spb.ru/contacts</t>
        </is>
      </c>
    </row>
    <row r="68" ht="23.85" customHeight="1" s="26">
      <c r="A68" s="49" t="n">
        <v>67</v>
      </c>
      <c r="B68" s="49" t="inlineStr">
        <is>
          <t>4 — не проверено</t>
        </is>
      </c>
      <c r="C68" s="49" t="inlineStr">
        <is>
          <t>Мрия, организация мероприятий</t>
        </is>
      </c>
      <c r="D68" s="49" t="inlineStr">
        <is>
          <t>Специалист по организации мероприятий</t>
        </is>
      </c>
      <c r="E68" s="50" t="inlineStr">
        <is>
          <t>https://spb.hh.ru/vacancies/organizator-meropriyatij</t>
        </is>
      </c>
      <c r="F68" s="46" t="inlineStr">
        <is>
          <t>не найдена</t>
        </is>
      </c>
      <c r="G68" s="46" t="inlineStr">
        <is>
          <t>не найден</t>
        </is>
      </c>
      <c r="H68" s="46" t="inlineStr">
        <is>
          <t>Отклик через hh — в поиске находится только крымский курорт «Мрия», не эта компания</t>
        </is>
      </c>
      <c r="I68" s="46" t="inlineStr">
        <is>
          <t>не найден</t>
        </is>
      </c>
      <c r="J68" s="49" t="inlineStr">
        <is>
          <t>?</t>
        </is>
      </c>
      <c r="K68" s="49" t="inlineStr">
        <is>
          <t>?</t>
        </is>
      </c>
      <c r="L68" s="49" t="inlineStr">
        <is>
          <t>?; 1–3 года</t>
        </is>
      </c>
      <c r="M68" s="49" t="inlineStr">
        <is>
          <t>?</t>
        </is>
      </c>
      <c r="N68" s="49" t="inlineStr">
        <is>
          <t>не найдена в каталогах</t>
        </is>
      </c>
      <c r="O68" s="49" t="inlineStr">
        <is>
          <t>низкая</t>
        </is>
      </c>
      <c r="P68" s="49" t="inlineStr">
        <is>
          <t>Не проверено (?)</t>
        </is>
      </c>
      <c r="Q68" s="49" t="n">
        <v>3</v>
      </c>
      <c r="R68" s="49" t="n"/>
      <c r="S68" s="44" t="inlineStr">
        <is>
          <t>—</t>
        </is>
      </c>
    </row>
    <row r="69" ht="23.85" customHeight="1" s="26">
      <c r="A69" s="49" t="n">
        <v>68</v>
      </c>
      <c r="B69" s="49" t="inlineStr">
        <is>
          <t>4 — не проверено</t>
        </is>
      </c>
      <c r="C69" s="49" t="inlineStr">
        <is>
          <t>Monterey</t>
        </is>
      </c>
      <c r="D69" s="49" t="inlineStr">
        <is>
          <t>Организатор мероприятий</t>
        </is>
      </c>
      <c r="E69" s="50" t="inlineStr">
        <is>
          <t>https://spb.hh.ru/vacancies/organizator-meropriyatij</t>
        </is>
      </c>
      <c r="F69" s="46" t="inlineStr">
        <is>
          <t>не найдена</t>
        </is>
      </c>
      <c r="G69" s="46" t="inlineStr">
        <is>
          <t>+7 (931) 334-71-44; мероприятия +7 (921) 329-83-20</t>
        </is>
      </c>
      <c r="H69" s="46" t="inlineStr">
        <is>
          <t>Отдельных HR-контактов не найдено</t>
        </is>
      </c>
      <c r="I69" s="46" t="inlineStr">
        <is>
          <t>https://monterey.gg</t>
        </is>
      </c>
      <c r="J69" s="49" t="inlineStr">
        <is>
          <t>?</t>
        </is>
      </c>
      <c r="K69" s="49" t="inlineStr">
        <is>
          <t>?</t>
        </is>
      </c>
      <c r="L69" s="49" t="inlineStr">
        <is>
          <t>100–150 тыс.; 1–3 года</t>
        </is>
      </c>
      <c r="M69" s="49" t="inlineStr">
        <is>
          <t>?</t>
        </is>
      </c>
      <c r="N69" s="49" t="inlineStr">
        <is>
          <t>не найдена в каталогах</t>
        </is>
      </c>
      <c r="O69" s="49" t="inlineStr">
        <is>
          <t>низкая</t>
        </is>
      </c>
      <c r="P69" s="49" t="inlineStr">
        <is>
          <t>Не проверено (?)</t>
        </is>
      </c>
      <c r="Q69" s="49" t="n">
        <v>3</v>
      </c>
      <c r="R69" s="49" t="n"/>
      <c r="S69" s="44" t="inlineStr">
        <is>
          <t>https://monterey.gg/corporate_parties_banquets_and_birthdays</t>
        </is>
      </c>
    </row>
    <row r="70" ht="23.85" customHeight="1" s="26">
      <c r="A70" s="49" t="n">
        <v>69</v>
      </c>
      <c r="B70" s="49" t="inlineStr">
        <is>
          <t>4 — не проверено</t>
        </is>
      </c>
      <c r="C70" s="49" t="inlineStr">
        <is>
          <t>Дольче Вита</t>
        </is>
      </c>
      <c r="D70" s="49" t="inlineStr">
        <is>
          <t>PR-директор / организатор мероприятий</t>
        </is>
      </c>
      <c r="E70" s="50" t="inlineStr">
        <is>
          <t>https://spb.hh.ru/vacancies/organizator-meropriyatij</t>
        </is>
      </c>
      <c r="F70" s="46" t="inlineStr">
        <is>
          <t>ld@dvmodel.ru (проверить, та ли «Дольче Вита»)</t>
        </is>
      </c>
      <c r="G70" s="46" t="inlineStr">
        <is>
          <t>+7 (812) 777-04-70; +7 (812) 655-09-00</t>
        </is>
      </c>
      <c r="H70" s="46" t="inlineStr">
        <is>
          <t>Отдельных HR-контактов не найдено</t>
        </is>
      </c>
      <c r="I70" s="46" t="inlineStr">
        <is>
          <t>https://www.dvmodel.ru (проверить)</t>
        </is>
      </c>
      <c r="J70" s="49" t="inlineStr">
        <is>
          <t>?</t>
        </is>
      </c>
      <c r="K70" s="49" t="inlineStr">
        <is>
          <t>?</t>
        </is>
      </c>
      <c r="L70" s="49" t="inlineStr">
        <is>
          <t>90–140 тыс.; 3–6 лет</t>
        </is>
      </c>
      <c r="M70" s="49" t="inlineStr">
        <is>
          <t>?</t>
        </is>
      </c>
      <c r="N70" s="49" t="inlineStr">
        <is>
          <t>не найдена в каталогах</t>
        </is>
      </c>
      <c r="O70" s="49" t="inlineStr">
        <is>
          <t>низкая</t>
        </is>
      </c>
      <c r="P70" s="49" t="inlineStr">
        <is>
          <t>Не проверено (?)</t>
        </is>
      </c>
      <c r="Q70" s="49" t="n">
        <v>3</v>
      </c>
      <c r="R70" s="49" t="inlineStr">
        <is>
          <t>В сниппете: коммуникация с подрядчиками</t>
        </is>
      </c>
      <c r="S70" s="44" t="inlineStr">
        <is>
          <t>https://www.dvmodel.ru/info/3</t>
        </is>
      </c>
    </row>
    <row r="71" ht="23.85" customHeight="1" s="26">
      <c r="A71" s="49" t="n">
        <v>70</v>
      </c>
      <c r="B71" s="49" t="inlineStr">
        <is>
          <t>4 — не проверено</t>
        </is>
      </c>
      <c r="C71" s="49" t="inlineStr">
        <is>
          <t>Mea Marketing</t>
        </is>
      </c>
      <c r="D71" s="49" t="inlineStr">
        <is>
          <t>Организатор (мероприятия)</t>
        </is>
      </c>
      <c r="E71" s="50" t="inlineStr">
        <is>
          <t>https://spb.hh.ru/vacancies/organizator-meropriyatij</t>
        </is>
      </c>
      <c r="F71" s="46" t="inlineStr">
        <is>
          <t>meamarketing@mail.ru</t>
        </is>
      </c>
      <c r="G71" s="46" t="inlineStr">
        <is>
          <t>+7 (993) 663-12-40</t>
        </is>
      </c>
      <c r="H71" s="46" t="inlineStr">
        <is>
          <t>Отдельных HR-контактов не найдено</t>
        </is>
      </c>
      <c r="I71" s="46" t="inlineStr">
        <is>
          <t>https://meamarketing.ru</t>
        </is>
      </c>
      <c r="J71" s="49" t="inlineStr">
        <is>
          <t>?</t>
        </is>
      </c>
      <c r="K71" s="49" t="inlineStr">
        <is>
          <t>?</t>
        </is>
      </c>
      <c r="L71" s="49" t="inlineStr">
        <is>
          <t>70–80 тыс.; без опыта</t>
        </is>
      </c>
      <c r="M71" s="49" t="inlineStr">
        <is>
          <t>?</t>
        </is>
      </c>
      <c r="N71" s="49" t="inlineStr">
        <is>
          <t>не найдена в каталогах</t>
        </is>
      </c>
      <c r="O71" s="49" t="inlineStr">
        <is>
          <t>низкая</t>
        </is>
      </c>
      <c r="P71" s="49" t="inlineStr">
        <is>
          <t>Не проверено (?)</t>
        </is>
      </c>
      <c r="Q71" s="49" t="n">
        <v>3</v>
      </c>
      <c r="R71" s="49" t="n"/>
      <c r="S71" s="44" t="inlineStr">
        <is>
          <t>https://meamarketing.ru/</t>
        </is>
      </c>
    </row>
    <row r="72" ht="23.85" customHeight="1" s="26">
      <c r="A72" s="49" t="n">
        <v>71</v>
      </c>
      <c r="B72" s="49" t="inlineStr">
        <is>
          <t>4 — не проверено</t>
        </is>
      </c>
      <c r="C72" s="49" t="inlineStr">
        <is>
          <t>JUG Ru Group</t>
        </is>
      </c>
      <c r="D72" s="49" t="inlineStr">
        <is>
          <t>Конференционное направление (название не видно)</t>
        </is>
      </c>
      <c r="E72" s="50" t="inlineStr">
        <is>
          <t>https://spb.hh.ru/vacancies/veduschij-meropriyatij</t>
        </is>
      </c>
      <c r="F72" s="46" t="inlineStr">
        <is>
          <t>info@jugru.org</t>
        </is>
      </c>
      <c r="G72" s="46" t="inlineStr">
        <is>
          <t>+7 (812) 409-42-12; офис +7 (812) 982-47-96</t>
        </is>
      </c>
      <c r="H72" s="46" t="inlineStr">
        <is>
          <t>Карьерная страница на Хабр Карьере (career.habr.com/companies/jugru)</t>
        </is>
      </c>
      <c r="I72" s="46" t="inlineStr">
        <is>
          <t>https://jugru.org</t>
        </is>
      </c>
      <c r="J72" s="49" t="inlineStr">
        <is>
          <t>?</t>
        </is>
      </c>
      <c r="K72" s="49" t="inlineStr">
        <is>
          <t>?</t>
        </is>
      </c>
      <c r="L72" s="49" t="inlineStr">
        <is>
          <t>?; ?</t>
        </is>
      </c>
      <c r="M72" s="49" t="inlineStr">
        <is>
          <t>?</t>
        </is>
      </c>
      <c r="N72" s="49" t="inlineStr">
        <is>
          <t>не найдена в каталогах</t>
        </is>
      </c>
      <c r="O72" s="49" t="inlineStr">
        <is>
          <t>низкая</t>
        </is>
      </c>
      <c r="P72" s="49" t="inlineStr">
        <is>
          <t>Не проверено (?)</t>
        </is>
      </c>
      <c r="Q72" s="49" t="n">
        <v>3</v>
      </c>
      <c r="R72" s="49" t="n"/>
      <c r="S72" s="44" t="inlineStr">
        <is>
          <t>https://career.habr.com/companies/jugru</t>
        </is>
      </c>
    </row>
    <row r="73" ht="23.85" customHeight="1" s="26">
      <c r="A73" s="49" t="n">
        <v>72</v>
      </c>
      <c r="B73" s="49" t="inlineStr">
        <is>
          <t>4 — не проверено</t>
        </is>
      </c>
      <c r="C73" s="49" t="inlineStr">
        <is>
          <t>СПб ГБУ Центр ФКСиЗ Фрунзенского р-на</t>
        </is>
      </c>
      <c r="D73" s="49" t="inlineStr">
        <is>
          <t>Специалист по физкультурным мероприятиям</t>
        </is>
      </c>
      <c r="E73" s="50" t="inlineStr">
        <is>
          <t>https://sankt-peterburg-region.jobfilter.ru/</t>
        </is>
      </c>
      <c r="F73" s="46" t="inlineStr">
        <is>
          <t>info-fizkult-frunz@yandex.ru</t>
        </is>
      </c>
      <c r="G73" s="46" t="inlineStr">
        <is>
          <t>+7 (812) 246-26-29; +7 (812) 246-26-28</t>
        </is>
      </c>
      <c r="H73" s="46" t="inlineStr">
        <is>
          <t>Отдельных HR-контактов не найдено</t>
        </is>
      </c>
      <c r="I73" s="46" t="inlineStr">
        <is>
          <t>http://fizkult-frunz.ru</t>
        </is>
      </c>
      <c r="J73" s="49" t="inlineStr">
        <is>
          <t>?</t>
        </is>
      </c>
      <c r="K73" s="49" t="inlineStr">
        <is>
          <t>?</t>
        </is>
      </c>
      <c r="L73" s="49" t="inlineStr">
        <is>
          <t>55–60 тыс.; ?</t>
        </is>
      </c>
      <c r="M73" s="49" t="inlineStr">
        <is>
          <t>?</t>
        </is>
      </c>
      <c r="N73" s="49" t="inlineStr">
        <is>
          <t>не найдена в каталогах</t>
        </is>
      </c>
      <c r="O73" s="49" t="inlineStr">
        <is>
          <t>низкая</t>
        </is>
      </c>
      <c r="P73" s="49" t="inlineStr">
        <is>
          <t>Не проверено (?)</t>
        </is>
      </c>
      <c r="Q73" s="49" t="n">
        <v>3</v>
      </c>
      <c r="R73" s="49" t="n"/>
      <c r="S73" s="44" t="inlineStr">
        <is>
          <t>http://fizkult-frunz.ru/contacts/</t>
        </is>
      </c>
    </row>
    <row r="74" ht="23.85" customHeight="1" s="26">
      <c r="A74" s="49" t="n">
        <v>73</v>
      </c>
      <c r="B74" s="49" t="inlineStr">
        <is>
          <t>4 — не проверено</t>
        </is>
      </c>
      <c r="C74" s="49" t="inlineStr">
        <is>
          <t>ГБУ ДЮЦ Московского р-на (ЦФКСиЗ)</t>
        </is>
      </c>
      <c r="D74" s="49" t="inlineStr">
        <is>
          <t>Специалист по спортивно-массовым мероприятиям</t>
        </is>
      </c>
      <c r="E74" s="50" t="inlineStr">
        <is>
          <t>https://spb.hh.ru/vacancies/</t>
        </is>
      </c>
      <c r="F74" s="46" t="inlineStr">
        <is>
          <t>cfk.mosk@obr.gov.spb.ru</t>
        </is>
      </c>
      <c r="G74" s="46" t="inlineStr">
        <is>
          <t>+7 (812) 372-84-00</t>
        </is>
      </c>
      <c r="H74" s="46" t="inlineStr">
        <is>
          <t>Отдельных HR-контактов не найдено</t>
        </is>
      </c>
      <c r="I74" s="46" t="inlineStr">
        <is>
          <t>http://cfk-mosk.ru</t>
        </is>
      </c>
      <c r="J74" s="49" t="inlineStr">
        <is>
          <t>?</t>
        </is>
      </c>
      <c r="K74" s="49" t="inlineStr">
        <is>
          <t>?</t>
        </is>
      </c>
      <c r="L74" s="49" t="inlineStr">
        <is>
          <t>от 50 тыс.; без опыта</t>
        </is>
      </c>
      <c r="M74" s="49" t="inlineStr">
        <is>
          <t>?</t>
        </is>
      </c>
      <c r="N74" s="49" t="inlineStr">
        <is>
          <t>не найдена в каталогах</t>
        </is>
      </c>
      <c r="O74" s="49" t="inlineStr">
        <is>
          <t>низкая</t>
        </is>
      </c>
      <c r="P74" s="49" t="inlineStr">
        <is>
          <t>Не проверено (?)</t>
        </is>
      </c>
      <c r="Q74" s="49" t="n">
        <v>3</v>
      </c>
      <c r="R74" s="49" t="n"/>
      <c r="S74" s="44" t="inlineStr">
        <is>
          <t>http://cfk-mosk.ru/</t>
        </is>
      </c>
    </row>
    <row r="75" ht="23.85" customHeight="1" s="26">
      <c r="A75" s="49" t="n">
        <v>74</v>
      </c>
      <c r="B75" s="49" t="inlineStr">
        <is>
          <t>4 — не проверено</t>
        </is>
      </c>
      <c r="C75" s="49" t="inlineStr">
        <is>
          <t>СПб ГБУ ПМК «Перспектива» Центрального р-на</t>
        </is>
      </c>
      <c r="D75" s="49" t="inlineStr">
        <is>
          <t>Специалист по организации молодёжных мероприятий</t>
        </is>
      </c>
      <c r="E75" s="50" t="inlineStr">
        <is>
          <t>https://gderabota.ru/</t>
        </is>
      </c>
      <c r="F75" s="46" t="inlineStr">
        <is>
          <t>pers279@yandex.ru</t>
        </is>
      </c>
      <c r="G75" s="46" t="inlineStr">
        <is>
          <t>+7 (812) 575-67-36 (в т.ч. кадры)</t>
        </is>
      </c>
      <c r="H75" s="46" t="inlineStr">
        <is>
          <t>Кадры: +7 (812) 575-67-36</t>
        </is>
      </c>
      <c r="I75" s="46" t="inlineStr">
        <is>
          <t>https://perspektiva-klab.ru</t>
        </is>
      </c>
      <c r="J75" s="49" t="inlineStr">
        <is>
          <t>?</t>
        </is>
      </c>
      <c r="K75" s="49" t="inlineStr">
        <is>
          <t>?</t>
        </is>
      </c>
      <c r="L75" s="49" t="inlineStr">
        <is>
          <t>?; ?</t>
        </is>
      </c>
      <c r="M75" s="49" t="inlineStr">
        <is>
          <t>?</t>
        </is>
      </c>
      <c r="N75" s="49" t="inlineStr">
        <is>
          <t>не найдена в каталогах</t>
        </is>
      </c>
      <c r="O75" s="49" t="inlineStr">
        <is>
          <t>низкая</t>
        </is>
      </c>
      <c r="P75" s="49" t="inlineStr">
        <is>
          <t>Не проверено (?)</t>
        </is>
      </c>
      <c r="Q75" s="49" t="n">
        <v>3</v>
      </c>
      <c r="R75" s="49" t="n"/>
      <c r="S75" s="44" t="inlineStr">
        <is>
          <t>https://perspektiva-klab.ru/en/ob-uchrezhdenii/</t>
        </is>
      </c>
    </row>
    <row r="76" ht="23.85" customHeight="1" s="26">
      <c r="A76" s="49" t="n">
        <v>75</v>
      </c>
      <c r="B76" s="49" t="inlineStr">
        <is>
          <t>4 — не проверено</t>
        </is>
      </c>
      <c r="C76" s="49" t="inlineStr">
        <is>
          <t>Горбилет</t>
        </is>
      </c>
      <c r="D76" s="49" t="inlineStr">
        <is>
          <t>Event-менеджер</t>
        </is>
      </c>
      <c r="E76" s="50" t="inlineStr">
        <is>
          <t>https://spb.hh.ru/vacancies/veduschij-meropriyatij</t>
        </is>
      </c>
      <c r="F76" s="46" t="inlineStr">
        <is>
          <t>info@gorbilet.com</t>
        </is>
      </c>
      <c r="G76" s="46" t="inlineStr">
        <is>
          <t>+7 (812) 603-46-33</t>
        </is>
      </c>
      <c r="H76" s="46" t="inlineStr">
        <is>
          <t>Отдельных HR-контактов не найдено</t>
        </is>
      </c>
      <c r="I76" s="46" t="inlineStr">
        <is>
          <t>https://gorbilet.com</t>
        </is>
      </c>
      <c r="J76" s="49" t="inlineStr">
        <is>
          <t>?</t>
        </is>
      </c>
      <c r="K76" s="49" t="inlineStr">
        <is>
          <t>?</t>
        </is>
      </c>
      <c r="L76" s="49" t="inlineStr">
        <is>
          <t>?; ?</t>
        </is>
      </c>
      <c r="M76" s="49" t="inlineStr">
        <is>
          <t>?</t>
        </is>
      </c>
      <c r="N76" s="49" t="inlineStr">
        <is>
          <t>не найдена в каталогах</t>
        </is>
      </c>
      <c r="O76" s="49" t="inlineStr">
        <is>
          <t>низкая</t>
        </is>
      </c>
      <c r="P76" s="49" t="inlineStr">
        <is>
          <t>Не проверено (?)</t>
        </is>
      </c>
      <c r="Q76" s="49" t="n">
        <v>3</v>
      </c>
      <c r="R76" s="49" t="n"/>
      <c r="S76" s="44" t="inlineStr">
        <is>
          <t>https://www.rusprofile.ru/id/11282335</t>
        </is>
      </c>
    </row>
    <row r="77" ht="23.85" customHeight="1" s="26">
      <c r="A77" s="49" t="n">
        <v>76</v>
      </c>
      <c r="B77" s="49" t="inlineStr">
        <is>
          <t>4 — не проверено</t>
        </is>
      </c>
      <c r="C77" s="49" t="inlineStr">
        <is>
          <t>Лента (группа компаний)</t>
        </is>
      </c>
      <c r="D77" s="49" t="inlineStr">
        <is>
          <t>Менеджер по организации программ развития</t>
        </is>
      </c>
      <c r="E77" s="50" t="inlineStr">
        <is>
          <t>https://www.domkadrov.ru/</t>
        </is>
      </c>
      <c r="F77" s="46" t="inlineStr">
        <is>
          <t>info@lenta.com</t>
        </is>
      </c>
      <c r="G77" s="46" t="inlineStr">
        <is>
          <t>+7 (812) 385-41-11; 8 800 700-41-11</t>
        </is>
      </c>
      <c r="H77" s="46" t="inlineStr">
        <is>
          <t>Карьерный сайт career.lenta.com; 8 800 770-00-30</t>
        </is>
      </c>
      <c r="I77" s="46" t="inlineStr">
        <is>
          <t>https://lenta.com</t>
        </is>
      </c>
      <c r="J77" s="49" t="inlineStr">
        <is>
          <t>?</t>
        </is>
      </c>
      <c r="K77" s="49" t="inlineStr">
        <is>
          <t>?</t>
        </is>
      </c>
      <c r="L77" s="49" t="inlineStr">
        <is>
          <t>?; ?</t>
        </is>
      </c>
      <c r="M77" s="49" t="inlineStr">
        <is>
          <t>?</t>
        </is>
      </c>
      <c r="N77" s="49" t="inlineStr">
        <is>
          <t>не найдена в каталогах</t>
        </is>
      </c>
      <c r="O77" s="49" t="inlineStr">
        <is>
          <t>низкая</t>
        </is>
      </c>
      <c r="P77" s="49" t="inlineStr">
        <is>
          <t>Не проверено (?)</t>
        </is>
      </c>
      <c r="Q77" s="49" t="n">
        <v>3</v>
      </c>
      <c r="R77" s="49" t="n"/>
      <c r="S77" s="44" t="inlineStr">
        <is>
          <t>https://www.lentagroup.ru/ru/contacts/</t>
        </is>
      </c>
    </row>
    <row r="78" ht="23.85" customHeight="1" s="26">
      <c r="A78" s="49" t="n">
        <v>77</v>
      </c>
      <c r="B78" s="49" t="inlineStr">
        <is>
          <t>4 — не проверено</t>
        </is>
      </c>
      <c r="C78" s="49" t="inlineStr">
        <is>
          <t>ГК «Аэроклуб»</t>
        </is>
      </c>
      <c r="D78" s="49" t="inlineStr">
        <is>
          <t>Менеджер по организации мероприятий (круглые столы)</t>
        </is>
      </c>
      <c r="E78" s="50" t="inlineStr">
        <is>
          <t>https://spb.careerist.ru/jobs-menedzher-po-organizatsii-meropriyatiy/</t>
        </is>
      </c>
      <c r="F78" s="46" t="inlineStr">
        <is>
          <t>yuliya.shadrina@aeroclub.ru (СПб-офис)</t>
        </is>
      </c>
      <c r="G78" s="46" t="inlineStr">
        <is>
          <t>+7 (495) 744-11-11</t>
        </is>
      </c>
      <c r="H78" s="46" t="inlineStr">
        <is>
          <t>Отдельных HR-контактов не найдено</t>
        </is>
      </c>
      <c r="I78" s="46" t="inlineStr">
        <is>
          <t>https://aeroclub.ru</t>
        </is>
      </c>
      <c r="J78" s="49" t="inlineStr">
        <is>
          <t>?</t>
        </is>
      </c>
      <c r="K78" s="49" t="inlineStr">
        <is>
          <t>?</t>
        </is>
      </c>
      <c r="L78" s="49" t="inlineStr">
        <is>
          <t>?; ?</t>
        </is>
      </c>
      <c r="M78" s="49" t="inlineStr">
        <is>
          <t>?</t>
        </is>
      </c>
      <c r="N78" s="49" t="inlineStr">
        <is>
          <t>не найдена в каталогах</t>
        </is>
      </c>
      <c r="O78" s="49" t="inlineStr">
        <is>
          <t>низкая</t>
        </is>
      </c>
      <c r="P78" s="49" t="inlineStr">
        <is>
          <t>Не проверено (?)</t>
        </is>
      </c>
      <c r="Q78" s="49" t="n">
        <v>4</v>
      </c>
      <c r="R78" s="49" t="n"/>
      <c r="S78" s="44" t="inlineStr">
        <is>
          <t>https://aeroclub.ru/contacts</t>
        </is>
      </c>
    </row>
    <row r="79" ht="23.85" customHeight="1" s="26">
      <c r="A79" s="49" t="n">
        <v>78</v>
      </c>
      <c r="B79" s="49" t="inlineStr">
        <is>
          <t>4 — не проверено</t>
        </is>
      </c>
      <c r="C79" s="49" t="inlineStr">
        <is>
          <t>«Директория», рекламно-продюсерский центр</t>
        </is>
      </c>
      <c r="D79" s="49" t="inlineStr">
        <is>
          <t>Event-менеджер</t>
        </is>
      </c>
      <c r="E79" s="50" t="inlineStr">
        <is>
          <t>https://spb.careerist.ru/jobs-menedzher-po-organizatsii-meropriyatiy/</t>
        </is>
      </c>
      <c r="F79" s="46" t="inlineStr">
        <is>
          <t>mail@directevent.ru</t>
        </is>
      </c>
      <c r="G79" s="46" t="inlineStr">
        <is>
          <t>+7 (812) 677-55-90</t>
        </is>
      </c>
      <c r="H79" s="46" t="inlineStr">
        <is>
          <t>Отдельных HR-контактов не найдено</t>
        </is>
      </c>
      <c r="I79" s="46" t="inlineStr">
        <is>
          <t>https://directevent.ru</t>
        </is>
      </c>
      <c r="J79" s="49" t="inlineStr">
        <is>
          <t>?</t>
        </is>
      </c>
      <c r="K79" s="49" t="inlineStr">
        <is>
          <t>?</t>
        </is>
      </c>
      <c r="L79" s="49" t="inlineStr">
        <is>
          <t>?; ?</t>
        </is>
      </c>
      <c r="M79" s="49" t="inlineStr">
        <is>
          <t>?</t>
        </is>
      </c>
      <c r="N79" s="49" t="inlineStr">
        <is>
          <t>не найдена в каталогах</t>
        </is>
      </c>
      <c r="O79" s="49" t="inlineStr">
        <is>
          <t>низкая</t>
        </is>
      </c>
      <c r="P79" s="49" t="inlineStr">
        <is>
          <t>Не проверено (?)</t>
        </is>
      </c>
      <c r="Q79" s="49" t="n">
        <v>4</v>
      </c>
      <c r="R79" s="49" t="n"/>
      <c r="S79" s="44" t="inlineStr">
        <is>
          <t>https://www.alladvertising.ru/info/directoria.html</t>
        </is>
      </c>
    </row>
    <row r="80" ht="23.85" customHeight="1" s="26">
      <c r="A80" s="49" t="n">
        <v>79</v>
      </c>
      <c r="B80" s="49" t="inlineStr">
        <is>
          <t>4 — не проверено</t>
        </is>
      </c>
      <c r="C80" s="49" t="inlineStr">
        <is>
          <t>Рбт Ивент Групп</t>
        </is>
      </c>
      <c r="D80" s="49" t="inlineStr">
        <is>
          <t>Помощник / менеджер отдела организации мероприятий</t>
        </is>
      </c>
      <c r="E80" s="50" t="inlineStr">
        <is>
          <t>https://sankt-peterburg-region.jobfilter.ru/</t>
        </is>
      </c>
      <c r="F80" s="46" t="inlineStr">
        <is>
          <t>event@rb-tourism.ru</t>
        </is>
      </c>
      <c r="G80" s="46" t="inlineStr">
        <is>
          <t>+7 (812) 335-13-13</t>
        </is>
      </c>
      <c r="H80" s="46" t="inlineStr">
        <is>
          <t>Отдельных HR-контактов не найдено</t>
        </is>
      </c>
      <c r="I80" s="46" t="inlineStr">
        <is>
          <t>https://www.rbtour.ru</t>
        </is>
      </c>
      <c r="J80" s="49" t="inlineStr">
        <is>
          <t>?</t>
        </is>
      </c>
      <c r="K80" s="49" t="inlineStr">
        <is>
          <t>?</t>
        </is>
      </c>
      <c r="L80" s="49" t="inlineStr">
        <is>
          <t>60–85 тыс.; стажировка</t>
        </is>
      </c>
      <c r="M80" s="49" t="inlineStr">
        <is>
          <t>?</t>
        </is>
      </c>
      <c r="N80" s="49" t="inlineStr">
        <is>
          <t>не найдена в каталогах</t>
        </is>
      </c>
      <c r="O80" s="49" t="inlineStr">
        <is>
          <t>низкая</t>
        </is>
      </c>
      <c r="P80" s="49" t="inlineStr">
        <is>
          <t>Не проверено (?)</t>
        </is>
      </c>
      <c r="Q80" s="49" t="n">
        <v>4</v>
      </c>
      <c r="R80" s="49" t="n"/>
      <c r="S80" s="44" t="inlineStr">
        <is>
          <t>https://www.rbtour.ru/en/kontakty.html</t>
        </is>
      </c>
    </row>
    <row r="81" ht="23.85" customHeight="1" s="26">
      <c r="A81" s="49" t="n">
        <v>80</v>
      </c>
      <c r="B81" s="49" t="inlineStr">
        <is>
          <t>4 — не проверено</t>
        </is>
      </c>
      <c r="C81" s="49" t="inlineStr">
        <is>
          <t>ЕВРОМЕД</t>
        </is>
      </c>
      <c r="D81" s="49" t="inlineStr">
        <is>
          <t>Event-менеджер</t>
        </is>
      </c>
      <c r="E81" s="50" t="inlineStr">
        <is>
          <t>https://spb.superjob.ru/vakansii/menedzher-event.html</t>
        </is>
      </c>
      <c r="F81" s="46" t="inlineStr">
        <is>
          <t>euromed@euromed.ru</t>
        </is>
      </c>
      <c r="G81" s="46" t="inlineStr">
        <is>
          <t>+7 (812) 327-03-01</t>
        </is>
      </c>
      <c r="H81" s="46" t="inlineStr">
        <is>
          <t>hr@euromed.ru</t>
        </is>
      </c>
      <c r="I81" s="46" t="inlineStr">
        <is>
          <t>https://euromed.ru</t>
        </is>
      </c>
      <c r="J81" s="49" t="inlineStr">
        <is>
          <t>?</t>
        </is>
      </c>
      <c r="K81" s="49" t="inlineStr">
        <is>
          <t>?</t>
        </is>
      </c>
      <c r="L81" s="49" t="inlineStr">
        <is>
          <t>от 50 тыс.; от 3 лет</t>
        </is>
      </c>
      <c r="M81" s="49" t="inlineStr">
        <is>
          <t>?</t>
        </is>
      </c>
      <c r="N81" s="49" t="inlineStr">
        <is>
          <t>не найдена в каталогах</t>
        </is>
      </c>
      <c r="O81" s="49" t="inlineStr">
        <is>
          <t>низкая</t>
        </is>
      </c>
      <c r="P81" s="49" t="inlineStr">
        <is>
          <t>Не проверено (?)</t>
        </is>
      </c>
      <c r="Q81" s="49" t="n">
        <v>4</v>
      </c>
      <c r="R81" s="49" t="n"/>
      <c r="S81" s="44" t="inlineStr">
        <is>
          <t>https://euromed.ru/vacancy/</t>
        </is>
      </c>
    </row>
    <row r="82" ht="23.85" customHeight="1" s="26">
      <c r="A82" s="49" t="n">
        <v>81</v>
      </c>
      <c r="B82" s="49" t="inlineStr">
        <is>
          <t>4 — не проверено</t>
        </is>
      </c>
      <c r="C82" s="49" t="inlineStr">
        <is>
          <t>ЭТМ</t>
        </is>
      </c>
      <c r="D82" s="49" t="inlineStr">
        <is>
          <t>Руководитель event-проектов</t>
        </is>
      </c>
      <c r="E82" s="50" t="inlineStr">
        <is>
          <t>https://spb.superjob.ru/vakansii/menedzher-event.html</t>
        </is>
      </c>
      <c r="F82" s="46" t="inlineStr">
        <is>
          <t>etm@etm.ru</t>
        </is>
      </c>
      <c r="G82" s="46" t="inlineStr">
        <is>
          <t>8 800 775-17-71; HR СПб +7 (812) 326-40-63</t>
        </is>
      </c>
      <c r="H82" s="46" t="inlineStr">
        <is>
          <t>personal.szk@etm.ru (HR, Северо-Западный центр)</t>
        </is>
      </c>
      <c r="I82" s="46" t="inlineStr">
        <is>
          <t>https://www.etm.ru</t>
        </is>
      </c>
      <c r="J82" s="49" t="inlineStr">
        <is>
          <t>?</t>
        </is>
      </c>
      <c r="K82" s="49" t="inlineStr">
        <is>
          <t>?</t>
        </is>
      </c>
      <c r="L82" s="49" t="inlineStr">
        <is>
          <t>?; ?</t>
        </is>
      </c>
      <c r="M82" s="49" t="inlineStr">
        <is>
          <t>?</t>
        </is>
      </c>
      <c r="N82" s="49" t="inlineStr">
        <is>
          <t>не найдена в каталогах</t>
        </is>
      </c>
      <c r="O82" s="49" t="inlineStr">
        <is>
          <t>низкая</t>
        </is>
      </c>
      <c r="P82" s="49" t="inlineStr">
        <is>
          <t>Не проверено (?)</t>
        </is>
      </c>
      <c r="Q82" s="49" t="n">
        <v>4</v>
      </c>
      <c r="R82" s="49" t="n"/>
      <c r="S82" s="44" t="inlineStr">
        <is>
          <t>https://www.etm.ru/company/career/contacts/</t>
        </is>
      </c>
    </row>
    <row r="83" ht="23.85" customHeight="1" s="26">
      <c r="A83" s="49" t="n">
        <v>82</v>
      </c>
      <c r="B83" s="49" t="inlineStr">
        <is>
          <t>4 — не проверено</t>
        </is>
      </c>
      <c r="C83" s="49" t="inlineStr">
        <is>
          <t>Славдом</t>
        </is>
      </c>
      <c r="D83" s="49" t="inlineStr">
        <is>
          <t>Event-менеджер</t>
        </is>
      </c>
      <c r="E83" s="50" t="inlineStr">
        <is>
          <t>https://spb.careerist.ru/jobs-event-menedzher/</t>
        </is>
      </c>
      <c r="F83" s="46" t="inlineStr">
        <is>
          <t>info@slavdom.ru</t>
        </is>
      </c>
      <c r="G83" s="46" t="inlineStr">
        <is>
          <t>+7 (812) 337-51-51; 8 800 333-51-51</t>
        </is>
      </c>
      <c r="H83" s="46" t="inlineStr">
        <is>
          <t>Отдельных HR-контактов не найдено</t>
        </is>
      </c>
      <c r="I83" s="46" t="inlineStr">
        <is>
          <t>https://slavdom.ru</t>
        </is>
      </c>
      <c r="J83" s="49" t="inlineStr">
        <is>
          <t>?</t>
        </is>
      </c>
      <c r="K83" s="49" t="inlineStr">
        <is>
          <t>?</t>
        </is>
      </c>
      <c r="L83" s="49" t="inlineStr">
        <is>
          <t>?; ?</t>
        </is>
      </c>
      <c r="M83" s="49" t="inlineStr">
        <is>
          <t>?</t>
        </is>
      </c>
      <c r="N83" s="49" t="inlineStr">
        <is>
          <t>не найдена в каталогах</t>
        </is>
      </c>
      <c r="O83" s="49" t="inlineStr">
        <is>
          <t>низкая</t>
        </is>
      </c>
      <c r="P83" s="49" t="inlineStr">
        <is>
          <t>Не проверено (?)</t>
        </is>
      </c>
      <c r="Q83" s="49" t="n">
        <v>4</v>
      </c>
      <c r="R83" s="49" t="n"/>
      <c r="S83" s="44" t="inlineStr">
        <is>
          <t>https://spb.slavdom.ru/contacts/</t>
        </is>
      </c>
    </row>
    <row r="84" ht="23.85" customHeight="1" s="26">
      <c r="A84" s="49" t="n">
        <v>83</v>
      </c>
      <c r="B84" s="49" t="inlineStr">
        <is>
          <t>4 — не проверено</t>
        </is>
      </c>
      <c r="C84" s="49" t="inlineStr">
        <is>
          <t>ИП Андреева У. Г.</t>
        </is>
      </c>
      <c r="D84" s="49" t="inlineStr">
        <is>
          <t>Event-менеджер</t>
        </is>
      </c>
      <c r="E84" s="50" t="inlineStr">
        <is>
          <t>https://spb.careerist.ru/jobs-event-menedzher/</t>
        </is>
      </c>
      <c r="F84" s="46" t="inlineStr">
        <is>
          <t>не найдена</t>
        </is>
      </c>
      <c r="G84" s="46" t="inlineStr">
        <is>
          <t>не найден</t>
        </is>
      </c>
      <c r="H84" s="46" t="inlineStr">
        <is>
          <t>Отклик через hh — ИП, контактов в открытых источниках нет</t>
        </is>
      </c>
      <c r="I84" s="46" t="inlineStr">
        <is>
          <t>не найден</t>
        </is>
      </c>
      <c r="J84" s="49" t="inlineStr">
        <is>
          <t>?</t>
        </is>
      </c>
      <c r="K84" s="49" t="inlineStr">
        <is>
          <t>?</t>
        </is>
      </c>
      <c r="L84" s="49" t="inlineStr">
        <is>
          <t>?; ?</t>
        </is>
      </c>
      <c r="M84" s="49" t="inlineStr">
        <is>
          <t>?</t>
        </is>
      </c>
      <c r="N84" s="49" t="inlineStr">
        <is>
          <t>не найдена в каталогах</t>
        </is>
      </c>
      <c r="O84" s="49" t="inlineStr">
        <is>
          <t>низкая</t>
        </is>
      </c>
      <c r="P84" s="49" t="inlineStr">
        <is>
          <t>Не проверено (?)</t>
        </is>
      </c>
      <c r="Q84" s="49" t="n">
        <v>4</v>
      </c>
      <c r="R84" s="49" t="n"/>
      <c r="S84" s="44" t="inlineStr">
        <is>
          <t>—</t>
        </is>
      </c>
    </row>
    <row r="85" ht="23.85" customHeight="1" s="26">
      <c r="A85" s="49" t="n">
        <v>84</v>
      </c>
      <c r="B85" s="49" t="inlineStr">
        <is>
          <t>4 — не проверено</t>
        </is>
      </c>
      <c r="C85" s="49" t="inlineStr">
        <is>
          <t>Юникадр</t>
        </is>
      </c>
      <c r="D85" s="49" t="inlineStr">
        <is>
          <t>Event-менеджер / специалист по организации мероприятий</t>
        </is>
      </c>
      <c r="E85" s="50" t="inlineStr">
        <is>
          <t>https://spb.hh.ru/vacancies/organizator-meropriyatij</t>
        </is>
      </c>
      <c r="F85" s="46" t="inlineStr">
        <is>
          <t>не найдена</t>
        </is>
      </c>
      <c r="G85" s="46" t="inlineStr">
        <is>
          <t>не найден</t>
        </is>
      </c>
      <c r="H85" s="46" t="inlineStr">
        <is>
          <t>Отклик через hh (работодатель 4119881); Instagram @unikadr</t>
        </is>
      </c>
      <c r="I85" s="46" t="inlineStr">
        <is>
          <t>https://uni-kadr.ru</t>
        </is>
      </c>
      <c r="J85" s="49" t="inlineStr">
        <is>
          <t>?</t>
        </is>
      </c>
      <c r="K85" s="49" t="inlineStr">
        <is>
          <t>?</t>
        </is>
      </c>
      <c r="L85" s="49" t="inlineStr">
        <is>
          <t>80–120 тыс.; 1–3 года</t>
        </is>
      </c>
      <c r="M85" s="49" t="inlineStr">
        <is>
          <t>?</t>
        </is>
      </c>
      <c r="N85" s="49" t="inlineStr">
        <is>
          <t>не найдена в каталогах</t>
        </is>
      </c>
      <c r="O85" s="49" t="inlineStr">
        <is>
          <t>низкая</t>
        </is>
      </c>
      <c r="P85" s="49" t="inlineStr">
        <is>
          <t>Не проверено (?)</t>
        </is>
      </c>
      <c r="Q85" s="49" t="n">
        <v>4</v>
      </c>
      <c r="R85" s="49" t="n"/>
      <c r="S85" s="44" t="inlineStr">
        <is>
          <t>https://spb.hh.ru/employer/4119881</t>
        </is>
      </c>
    </row>
    <row r="86" ht="23.85" customHeight="1" s="26">
      <c r="A86" s="49" t="n">
        <v>85</v>
      </c>
      <c r="B86" s="49" t="inlineStr">
        <is>
          <t>4 — не проверено</t>
        </is>
      </c>
      <c r="C86" s="49" t="inlineStr">
        <is>
          <t>Компания КомЛайн (СПб)</t>
        </is>
      </c>
      <c r="D86" s="49" t="inlineStr">
        <is>
          <t>Менеджер по организации мероприятий</t>
        </is>
      </c>
      <c r="E86" s="50" t="inlineStr">
        <is>
          <t>https://spb.hh.ru/vacancies/organizator-meropriyatij</t>
        </is>
      </c>
      <c r="F86" s="46" t="inlineStr">
        <is>
          <t>cl@1ccl.ru (проверить — найден 1С-центр КомЛайн с офисом на ул. Швецова, 41)</t>
        </is>
      </c>
      <c r="G86" s="46" t="inlineStr">
        <is>
          <t>+7 (843) 200-11-22</t>
        </is>
      </c>
      <c r="H86" s="46" t="inlineStr">
        <is>
          <t>Отдельных HR-контактов не найдено</t>
        </is>
      </c>
      <c r="I86" s="46" t="inlineStr">
        <is>
          <t>https://1ccl.ru (проверить)</t>
        </is>
      </c>
      <c r="J86" s="49" t="inlineStr">
        <is>
          <t>?</t>
        </is>
      </c>
      <c r="K86" s="49" t="inlineStr">
        <is>
          <t>?</t>
        </is>
      </c>
      <c r="L86" s="49" t="inlineStr">
        <is>
          <t>?; ?</t>
        </is>
      </c>
      <c r="M86" s="49" t="inlineStr">
        <is>
          <t>?</t>
        </is>
      </c>
      <c r="N86" s="49" t="inlineStr">
        <is>
          <t>не найдена в каталогах</t>
        </is>
      </c>
      <c r="O86" s="49" t="inlineStr">
        <is>
          <t>низкая</t>
        </is>
      </c>
      <c r="P86" s="49" t="inlineStr">
        <is>
          <t>Не проверено (?)</t>
        </is>
      </c>
      <c r="Q86" s="49" t="n">
        <v>4</v>
      </c>
      <c r="R86" s="49" t="n"/>
      <c r="S86" s="44" t="inlineStr">
        <is>
          <t>https://1ccl.ru/contacts/</t>
        </is>
      </c>
    </row>
    <row r="87" ht="23.85" customHeight="1" s="26">
      <c r="A87" s="49" t="n">
        <v>86</v>
      </c>
      <c r="B87" s="49" t="inlineStr">
        <is>
          <t>4 — не проверено</t>
        </is>
      </c>
      <c r="C87" s="49" t="inlineStr">
        <is>
          <t>Bnovo</t>
        </is>
      </c>
      <c r="D87" s="49" t="inlineStr">
        <is>
          <t>Менеджер по корпоративной культуре / внутр. коммуникациям</t>
        </is>
      </c>
      <c r="E87" s="50" t="inlineStr">
        <is>
          <t>https://spb.hh.ru/vacancies/veduschij-meropriyatij</t>
        </is>
      </c>
      <c r="F87" s="46" t="inlineStr">
        <is>
          <t>sales@bnovo.ru; marketing@bnovo.ru</t>
        </is>
      </c>
      <c r="G87" s="46" t="inlineStr">
        <is>
          <t>8 800 222-74-43</t>
        </is>
      </c>
      <c r="H87" s="46" t="inlineStr">
        <is>
          <t>Карьерная страница на Хабр Карьере (career.habr.com/companies/bnovo)</t>
        </is>
      </c>
      <c r="I87" s="46" t="inlineStr">
        <is>
          <t>https://bnovo.ru</t>
        </is>
      </c>
      <c r="J87" s="49" t="inlineStr">
        <is>
          <t>?</t>
        </is>
      </c>
      <c r="K87" s="49" t="inlineStr">
        <is>
          <t>?</t>
        </is>
      </c>
      <c r="L87" s="49" t="inlineStr">
        <is>
          <t>?; 1–3 года</t>
        </is>
      </c>
      <c r="M87" s="49" t="inlineStr">
        <is>
          <t>?</t>
        </is>
      </c>
      <c r="N87" s="49" t="inlineStr">
        <is>
          <t>не найдена в каталогах</t>
        </is>
      </c>
      <c r="O87" s="49" t="inlineStr">
        <is>
          <t>низкая</t>
        </is>
      </c>
      <c r="P87" s="49" t="inlineStr">
        <is>
          <t>Не проверено (?)</t>
        </is>
      </c>
      <c r="Q87" s="49" t="n">
        <v>4</v>
      </c>
      <c r="R87" s="49" t="n"/>
      <c r="S87" s="44" t="inlineStr">
        <is>
          <t>https://bnovo.ru/contacts/</t>
        </is>
      </c>
    </row>
    <row r="88" ht="23.85" customHeight="1" s="26">
      <c r="A88" s="49" t="n">
        <v>87</v>
      </c>
      <c r="B88" s="49" t="inlineStr">
        <is>
          <t>4 — не проверено</t>
        </is>
      </c>
      <c r="C88" s="49" t="inlineStr">
        <is>
          <t>ИнтелМед</t>
        </is>
      </c>
      <c r="D88" s="49" t="inlineStr">
        <is>
          <t>Помощник менеджера проекта (выставки)</t>
        </is>
      </c>
      <c r="E88" s="50" t="inlineStr">
        <is>
          <t>https://spb.zarplata.ru/vacancies/menedzher-po-organizatsii-vystavok</t>
        </is>
      </c>
      <c r="F88" s="46" t="inlineStr">
        <is>
          <t>intelmed@intelmed.ru</t>
        </is>
      </c>
      <c r="G88" s="46" t="inlineStr">
        <is>
          <t>8 800 777-97-79</t>
        </is>
      </c>
      <c r="H88" s="46" t="inlineStr">
        <is>
          <t>Отдельных HR-контактов не найдено</t>
        </is>
      </c>
      <c r="I88" s="46" t="inlineStr">
        <is>
          <t>https://intelmed.ru</t>
        </is>
      </c>
      <c r="J88" s="49" t="inlineStr">
        <is>
          <t>?</t>
        </is>
      </c>
      <c r="K88" s="49" t="inlineStr">
        <is>
          <t>?</t>
        </is>
      </c>
      <c r="L88" s="49" t="inlineStr">
        <is>
          <t>от 70 тыс.; 1–3 года</t>
        </is>
      </c>
      <c r="M88" s="49" t="inlineStr">
        <is>
          <t>?</t>
        </is>
      </c>
      <c r="N88" s="49" t="inlineStr">
        <is>
          <t>не найдена в каталогах</t>
        </is>
      </c>
      <c r="O88" s="49" t="inlineStr">
        <is>
          <t>низкая</t>
        </is>
      </c>
      <c r="P88" s="49" t="inlineStr">
        <is>
          <t>Не проверено (?)</t>
        </is>
      </c>
      <c r="Q88" s="49" t="n">
        <v>4</v>
      </c>
      <c r="R88" s="49" t="n"/>
      <c r="S88" s="44" t="inlineStr">
        <is>
          <t>https://intelmed.ru/contacts/</t>
        </is>
      </c>
    </row>
    <row r="89" ht="23.85" customHeight="1" s="26">
      <c r="A89" s="49" t="n">
        <v>88</v>
      </c>
      <c r="B89" s="49" t="inlineStr">
        <is>
          <t>4 — не проверено</t>
        </is>
      </c>
      <c r="C89" s="49" t="inlineStr">
        <is>
          <t>Интерформ-Дизайн</t>
        </is>
      </c>
      <c r="D89" s="49" t="inlineStr">
        <is>
          <t>Менеджер проекта (выставки, музеи, мероприятия)</t>
        </is>
      </c>
      <c r="E89" s="50" t="inlineStr">
        <is>
          <t>https://sankt-peterburg.trud.com/jobs/organizator_vystavok/</t>
        </is>
      </c>
      <c r="F89" s="46" t="inlineStr">
        <is>
          <t>info@interform.spb.ru</t>
        </is>
      </c>
      <c r="G89" s="46" t="inlineStr">
        <is>
          <t>+7 (812) 448-85-41; +7 (812) 448-69-22</t>
        </is>
      </c>
      <c r="H89" s="46" t="inlineStr">
        <is>
          <t>Отдельных HR-контактов не найдено</t>
        </is>
      </c>
      <c r="I89" s="46" t="inlineStr">
        <is>
          <t>http://interform.spb.ru</t>
        </is>
      </c>
      <c r="J89" s="49" t="inlineStr">
        <is>
          <t>?</t>
        </is>
      </c>
      <c r="K89" s="49" t="inlineStr">
        <is>
          <t>?</t>
        </is>
      </c>
      <c r="L89" s="49" t="inlineStr">
        <is>
          <t>40 тыс.; ?</t>
        </is>
      </c>
      <c r="M89" s="49" t="inlineStr">
        <is>
          <t>?</t>
        </is>
      </c>
      <c r="N89" s="49" t="inlineStr">
        <is>
          <t>не найдена в каталогах</t>
        </is>
      </c>
      <c r="O89" s="49" t="inlineStr">
        <is>
          <t>низкая</t>
        </is>
      </c>
      <c r="P89" s="49" t="inlineStr">
        <is>
          <t>Не проверено (?)</t>
        </is>
      </c>
      <c r="Q89" s="49" t="n">
        <v>4</v>
      </c>
      <c r="R89" s="49" t="n"/>
      <c r="S89" s="44" t="inlineStr">
        <is>
          <t>http://en.interform.spb.ru/</t>
        </is>
      </c>
    </row>
    <row r="90" ht="23.85" customHeight="1" s="26">
      <c r="A90" s="49" t="n">
        <v>89</v>
      </c>
      <c r="B90" s="49" t="inlineStr">
        <is>
          <t>4 — не проверено</t>
        </is>
      </c>
      <c r="C90" s="49" t="inlineStr">
        <is>
          <t>Exposfera</t>
        </is>
      </c>
      <c r="D90" s="49" t="inlineStr">
        <is>
          <t>Менеджер по организации выставки (администрирование)</t>
        </is>
      </c>
      <c r="E90" s="50" t="inlineStr">
        <is>
          <t>https://ru.indeed.com/</t>
        </is>
      </c>
      <c r="F90" s="46" t="inlineStr">
        <is>
          <t>info@exposfera.spb.ru</t>
        </is>
      </c>
      <c r="G90" s="46" t="inlineStr">
        <is>
          <t>+7 (812) 425-14-15; +7 (812) 600-92-92</t>
        </is>
      </c>
      <c r="H90" s="46" t="inlineStr">
        <is>
          <t>Отдельных HR-контактов не найдено</t>
        </is>
      </c>
      <c r="I90" s="46" t="inlineStr">
        <is>
          <t>https://exposfera.spb.ru</t>
        </is>
      </c>
      <c r="J90" s="49" t="inlineStr">
        <is>
          <t>?</t>
        </is>
      </c>
      <c r="K90" s="49" t="inlineStr">
        <is>
          <t>?</t>
        </is>
      </c>
      <c r="L90" s="49" t="inlineStr">
        <is>
          <t>50–70 тыс.; ?</t>
        </is>
      </c>
      <c r="M90" s="49" t="inlineStr">
        <is>
          <t>?</t>
        </is>
      </c>
      <c r="N90" s="49" t="inlineStr">
        <is>
          <t>не найдена в каталогах</t>
        </is>
      </c>
      <c r="O90" s="49" t="inlineStr">
        <is>
          <t>низкая</t>
        </is>
      </c>
      <c r="P90" s="49" t="inlineStr">
        <is>
          <t>Не проверено (?)</t>
        </is>
      </c>
      <c r="Q90" s="49" t="n">
        <v>4</v>
      </c>
      <c r="R90" s="49" t="n"/>
      <c r="S90" s="44" t="inlineStr">
        <is>
          <t>https://exposfera.spb.ru/contacts1/</t>
        </is>
      </c>
    </row>
    <row r="91" ht="23.85" customHeight="1" s="26">
      <c r="A91" s="49" t="n">
        <v>90</v>
      </c>
      <c r="B91" s="49" t="inlineStr">
        <is>
          <t>4 — не проверено</t>
        </is>
      </c>
      <c r="C91" s="49" t="inlineStr">
        <is>
          <t>ANDPERSAND</t>
        </is>
      </c>
      <c r="D91" s="49" t="inlineStr">
        <is>
          <t>Менеджер по программам / организатор туров</t>
        </is>
      </c>
      <c r="E91" s="50" t="inlineStr">
        <is>
          <t>https://spb.hh.ru/vacancies/menedzher_po_turizm</t>
        </is>
      </c>
      <c r="F91" s="46" t="inlineStr">
        <is>
          <t>не найдена</t>
        </is>
      </c>
      <c r="G91" s="46" t="inlineStr">
        <is>
          <t>не найден</t>
        </is>
      </c>
      <c r="H91" s="46" t="inlineStr">
        <is>
          <t>Отклик через hh — нашёлся только тур-оператор Andpersand на TripAdvisor (проверить, та ли компания)</t>
        </is>
      </c>
      <c r="I91" s="46" t="inlineStr">
        <is>
          <t>не найден</t>
        </is>
      </c>
      <c r="J91" s="49" t="inlineStr">
        <is>
          <t>?</t>
        </is>
      </c>
      <c r="K91" s="49" t="inlineStr">
        <is>
          <t>?</t>
        </is>
      </c>
      <c r="L91" s="49" t="inlineStr">
        <is>
          <t>?; ?</t>
        </is>
      </c>
      <c r="M91" s="49" t="inlineStr">
        <is>
          <t>?</t>
        </is>
      </c>
      <c r="N91" s="49" t="inlineStr">
        <is>
          <t>не найдена в каталогах</t>
        </is>
      </c>
      <c r="O91" s="49" t="inlineStr">
        <is>
          <t>низкая</t>
        </is>
      </c>
      <c r="P91" s="49" t="inlineStr">
        <is>
          <t>Не проверено (?)</t>
        </is>
      </c>
      <c r="Q91" s="49" t="n">
        <v>4</v>
      </c>
      <c r="R91" s="49" t="inlineStr">
        <is>
          <t>Вероятно Б4 Б5</t>
        </is>
      </c>
      <c r="S91" s="44" t="inlineStr">
        <is>
          <t>https://www.tripadvisor.com/Attraction_Review-g298507-d27959872-Reviews-Andpersand-St_Petersburg_Northwestern_District.html</t>
        </is>
      </c>
    </row>
    <row r="92" ht="23.85" customHeight="1" s="26">
      <c r="A92" s="49" t="n">
        <v>91</v>
      </c>
      <c r="B92" s="49" t="inlineStr">
        <is>
          <t>4 — не проверено</t>
        </is>
      </c>
      <c r="C92" s="49" t="inlineStr">
        <is>
          <t>СПб ГБУ «Музей Невская застава»</t>
        </is>
      </c>
      <c r="D92" s="49" t="inlineStr">
        <is>
          <t>Организация мероприятий (по каталогу)</t>
        </is>
      </c>
      <c r="E92" s="50" t="inlineStr">
        <is>
          <t>https://spb.hh.ru/vacancies/organizator-meropriyatij</t>
        </is>
      </c>
      <c r="F92" s="46" t="inlineStr">
        <is>
          <t>nevzastavamuseum@yandex.ru</t>
        </is>
      </c>
      <c r="G92" s="46" t="inlineStr">
        <is>
          <t>+7 (812) 362-18-10; +7 (812) 412-00-57</t>
        </is>
      </c>
      <c r="H92" s="46" t="inlineStr">
        <is>
          <t>Отдельных HR-контактов не найдено</t>
        </is>
      </c>
      <c r="I92" s="46" t="inlineStr">
        <is>
          <t>https://nevzastava.ru</t>
        </is>
      </c>
      <c r="J92" s="49" t="inlineStr">
        <is>
          <t>?</t>
        </is>
      </c>
      <c r="K92" s="49" t="inlineStr">
        <is>
          <t>?</t>
        </is>
      </c>
      <c r="L92" s="49" t="inlineStr">
        <is>
          <t>?; ?</t>
        </is>
      </c>
      <c r="M92" s="49" t="inlineStr">
        <is>
          <t>?</t>
        </is>
      </c>
      <c r="N92" s="49" t="inlineStr">
        <is>
          <t>не найдена в каталогах</t>
        </is>
      </c>
      <c r="O92" s="49" t="inlineStr">
        <is>
          <t>низкая</t>
        </is>
      </c>
      <c r="P92" s="49" t="inlineStr">
        <is>
          <t>Не проверено (?)</t>
        </is>
      </c>
      <c r="Q92" s="49" t="n">
        <v>4</v>
      </c>
      <c r="R92" s="49" t="n"/>
      <c r="S92" s="44" t="inlineStr">
        <is>
          <t>https://www.culture.ru/institutes/5413/muzei-nevskaya-zastava</t>
        </is>
      </c>
    </row>
    <row r="93" ht="23.85" customHeight="1" s="26">
      <c r="A93" s="49" t="n">
        <v>92</v>
      </c>
      <c r="B93" s="49" t="inlineStr">
        <is>
          <t>4 — не проверено</t>
        </is>
      </c>
      <c r="C93" s="49" t="inlineStr">
        <is>
          <t>Музей театрального и музыкального искусства</t>
        </is>
      </c>
      <c r="D93" s="49" t="inlineStr">
        <is>
          <t>1 вакансия (концерты, фестивали)</t>
        </is>
      </c>
      <c r="E93" s="50" t="inlineStr">
        <is>
          <t>https://spb.hh.ru/employer/11036419</t>
        </is>
      </c>
      <c r="F93" s="46" t="inlineStr">
        <is>
          <t>art@theatremuseum.ru</t>
        </is>
      </c>
      <c r="G93" s="46" t="inlineStr">
        <is>
          <t>+7 (812) 571-21-95</t>
        </is>
      </c>
      <c r="H93" s="46" t="inlineStr">
        <is>
          <t>Отдельных HR-контактов не найдено</t>
        </is>
      </c>
      <c r="I93" s="46" t="inlineStr">
        <is>
          <t>https://theatremuseum.ru</t>
        </is>
      </c>
      <c r="J93" s="49" t="inlineStr">
        <is>
          <t>?</t>
        </is>
      </c>
      <c r="K93" s="49" t="inlineStr">
        <is>
          <t>?</t>
        </is>
      </c>
      <c r="L93" s="49" t="inlineStr">
        <is>
          <t>?; ?</t>
        </is>
      </c>
      <c r="M93" s="49" t="inlineStr">
        <is>
          <t>?</t>
        </is>
      </c>
      <c r="N93" s="49" t="inlineStr">
        <is>
          <t>не найдена в каталогах</t>
        </is>
      </c>
      <c r="O93" s="49" t="inlineStr">
        <is>
          <t>низкая</t>
        </is>
      </c>
      <c r="P93" s="49" t="inlineStr">
        <is>
          <t>Не проверено (?)</t>
        </is>
      </c>
      <c r="Q93" s="49" t="n">
        <v>4</v>
      </c>
      <c r="R93" s="49" t="n"/>
      <c r="S93" s="44" t="inlineStr">
        <is>
          <t>https://theatremuseum.ru/page/contact</t>
        </is>
      </c>
    </row>
    <row r="94" ht="23.85" customHeight="1" s="26">
      <c r="A94" s="49" t="n">
        <v>93</v>
      </c>
      <c r="B94" s="49" t="inlineStr">
        <is>
          <t>4 — не проверено</t>
        </is>
      </c>
      <c r="C94" s="49" t="inlineStr">
        <is>
          <t>Мотоклуб «Ночные Охотники» (ROUTE 148)</t>
        </is>
      </c>
      <c r="D94" s="49" t="inlineStr">
        <is>
          <t>Организатор мероприятий</t>
        </is>
      </c>
      <c r="E94" s="50" t="inlineStr">
        <is>
          <t>https://spb.hh.ru/vacancies/organizator-meropriyatij</t>
        </is>
      </c>
      <c r="F94" s="46" t="inlineStr">
        <is>
          <t>не найдена</t>
        </is>
      </c>
      <c r="G94" s="46" t="inlineStr">
        <is>
          <t>+7 (967) 574-74-24 (Лиговский пр., 289Л)</t>
        </is>
      </c>
      <c r="H94" s="46" t="inlineStr">
        <is>
          <t>Отдельных HR-контактов не найдено</t>
        </is>
      </c>
      <c r="I94" s="46" t="inlineStr">
        <is>
          <t>https://route-148-ligovskij-prospekt.clients.site</t>
        </is>
      </c>
      <c r="J94" s="49" t="inlineStr">
        <is>
          <t>?</t>
        </is>
      </c>
      <c r="K94" s="49" t="inlineStr">
        <is>
          <t>?</t>
        </is>
      </c>
      <c r="L94" s="49" t="inlineStr">
        <is>
          <t>80–110 тыс.; 3–6 лет</t>
        </is>
      </c>
      <c r="M94" s="49" t="inlineStr">
        <is>
          <t>?</t>
        </is>
      </c>
      <c r="N94" s="49" t="inlineStr">
        <is>
          <t>не найдена в каталогах</t>
        </is>
      </c>
      <c r="O94" s="49" t="inlineStr">
        <is>
          <t>низкая</t>
        </is>
      </c>
      <c r="P94" s="49" t="inlineStr">
        <is>
          <t>Не проверено (?)</t>
        </is>
      </c>
      <c r="Q94" s="49" t="n">
        <v>4</v>
      </c>
      <c r="R94" s="49" t="n"/>
      <c r="S94" s="44" t="inlineStr">
        <is>
          <t>https://route-148-ligovskij-prospekt.clients.site/</t>
        </is>
      </c>
    </row>
    <row r="95" ht="23.85" customHeight="1" s="26">
      <c r="A95" s="49" t="n">
        <v>94</v>
      </c>
      <c r="B95" s="49" t="inlineStr">
        <is>
          <t>4 — не проверено</t>
        </is>
      </c>
      <c r="C95" s="49" t="inlineStr">
        <is>
          <t>NOVI</t>
        </is>
      </c>
      <c r="D95" s="49" t="inlineStr">
        <is>
          <t>Название не видно</t>
        </is>
      </c>
      <c r="E95" s="50" t="inlineStr">
        <is>
          <t>https://spb.hh.ru/vacancies/organizator-meropriyatij</t>
        </is>
      </c>
      <c r="F95" s="46" t="inlineStr">
        <is>
          <t>не найдена</t>
        </is>
      </c>
      <c r="G95" s="46" t="inlineStr">
        <is>
          <t>не найден</t>
        </is>
      </c>
      <c r="H95" s="46" t="inlineStr">
        <is>
          <t>Отклик через hh — компанию NOVI однозначно найти не удалось</t>
        </is>
      </c>
      <c r="I95" s="46" t="inlineStr">
        <is>
          <t>не найден</t>
        </is>
      </c>
      <c r="J95" s="49" t="inlineStr">
        <is>
          <t>?</t>
        </is>
      </c>
      <c r="K95" s="49" t="inlineStr">
        <is>
          <t>?</t>
        </is>
      </c>
      <c r="L95" s="49" t="inlineStr">
        <is>
          <t>от 150 тыс.; 3–6 лет</t>
        </is>
      </c>
      <c r="M95" s="49" t="inlineStr">
        <is>
          <t>?</t>
        </is>
      </c>
      <c r="N95" s="49" t="inlineStr">
        <is>
          <t>не найдена в каталогах</t>
        </is>
      </c>
      <c r="O95" s="49" t="inlineStr">
        <is>
          <t>низкая</t>
        </is>
      </c>
      <c r="P95" s="49" t="inlineStr">
        <is>
          <t>Не проверено (?)</t>
        </is>
      </c>
      <c r="Q95" s="49" t="n">
        <v>4</v>
      </c>
      <c r="R95" s="49" t="n"/>
      <c r="S95" s="44" t="inlineStr">
        <is>
          <t>—</t>
        </is>
      </c>
    </row>
    <row r="96" ht="23.85" customHeight="1" s="26">
      <c r="A96" s="49" t="n">
        <v>95</v>
      </c>
      <c r="B96" s="49" t="inlineStr">
        <is>
          <t>4 — не проверено</t>
        </is>
      </c>
      <c r="C96" s="49" t="inlineStr">
        <is>
          <t>ГБОУ гимназия № 209 «Павловская»</t>
        </is>
      </c>
      <c r="D96" s="49" t="inlineStr">
        <is>
          <t>Event-менеджер</t>
        </is>
      </c>
      <c r="E96" s="50" t="inlineStr">
        <is>
          <t>https://spb.hh.ru/vacancies/organizator-meropriyatij</t>
        </is>
      </c>
      <c r="F96" s="46" t="inlineStr">
        <is>
          <t>sch209@center-edu.spb.ru</t>
        </is>
      </c>
      <c r="G96" s="46" t="inlineStr">
        <is>
          <t>+7 (812) 579-04-73</t>
        </is>
      </c>
      <c r="H96" s="46" t="inlineStr">
        <is>
          <t>Отдельных HR-контактов не найдено</t>
        </is>
      </c>
      <c r="I96" s="46" t="inlineStr">
        <is>
          <t>https://gym209.spb.ru</t>
        </is>
      </c>
      <c r="J96" s="49" t="inlineStr">
        <is>
          <t>?</t>
        </is>
      </c>
      <c r="K96" s="49" t="inlineStr">
        <is>
          <t>?</t>
        </is>
      </c>
      <c r="L96" s="49" t="inlineStr">
        <is>
          <t>?; 1–3 года</t>
        </is>
      </c>
      <c r="M96" s="49" t="inlineStr">
        <is>
          <t>?</t>
        </is>
      </c>
      <c r="N96" s="49" t="inlineStr">
        <is>
          <t>не найдена в каталогах</t>
        </is>
      </c>
      <c r="O96" s="49" t="inlineStr">
        <is>
          <t>низкая</t>
        </is>
      </c>
      <c r="P96" s="49" t="inlineStr">
        <is>
          <t>Не проверено (?)</t>
        </is>
      </c>
      <c r="Q96" s="49" t="n">
        <v>4</v>
      </c>
      <c r="R96" s="49" t="n"/>
      <c r="S96" s="44" t="inlineStr">
        <is>
          <t>https://gym209.spb.ru/index.php/kontakty</t>
        </is>
      </c>
    </row>
    <row r="97" ht="23.85" customHeight="1" s="26">
      <c r="A97" s="49" t="n">
        <v>96</v>
      </c>
      <c r="B97" s="49" t="inlineStr">
        <is>
          <t>4 — не проверено</t>
        </is>
      </c>
      <c r="C97" s="49" t="inlineStr">
        <is>
          <t>СПб ГБУ ЦОО «Молодёжный»</t>
        </is>
      </c>
      <c r="D97" s="49" t="inlineStr">
        <is>
          <t>Специалист по закупкам (лагеря)</t>
        </is>
      </c>
      <c r="E97" s="50" t="inlineStr">
        <is>
          <t>https://sankt-peterburg.gorodrabot.ru/</t>
        </is>
      </c>
      <c r="F97" s="46" t="inlineStr">
        <is>
          <t>coo@obr.gov.spb.ru</t>
        </is>
      </c>
      <c r="G97" s="46" t="inlineStr">
        <is>
          <t>+7 (812) 498-10-05; +7 (812) 405-96-56</t>
        </is>
      </c>
      <c r="H97" s="46" t="inlineStr">
        <is>
          <t>Отдельных HR-контактов не найдено</t>
        </is>
      </c>
      <c r="I97" s="46" t="inlineStr">
        <is>
          <t>https://coo-molod.ru</t>
        </is>
      </c>
      <c r="J97" s="49" t="inlineStr">
        <is>
          <t>?</t>
        </is>
      </c>
      <c r="K97" s="49" t="inlineStr">
        <is>
          <t>?</t>
        </is>
      </c>
      <c r="L97" s="49" t="inlineStr">
        <is>
          <t>?; ?</t>
        </is>
      </c>
      <c r="M97" s="49" t="inlineStr">
        <is>
          <t>?</t>
        </is>
      </c>
      <c r="N97" s="49" t="inlineStr">
        <is>
          <t>не найдена в каталогах</t>
        </is>
      </c>
      <c r="O97" s="49" t="inlineStr">
        <is>
          <t>низкая</t>
        </is>
      </c>
      <c r="P97" s="49" t="inlineStr">
        <is>
          <t>Не проверено (?)</t>
        </is>
      </c>
      <c r="Q97" s="49" t="n">
        <v>4</v>
      </c>
      <c r="R97" s="49" t="inlineStr">
        <is>
          <t>Категория «закупки в ГБУ»</t>
        </is>
      </c>
      <c r="S97" s="44" t="inlineStr">
        <is>
          <t>https://companies.rbc.ru/id/1037843027089-gosudarstvennoe-byudzhetnoe-uchrezhdenie-subekta-rossijskoj-federatsii-sankt-peterburgskoe-gosudarstvennoe-byudzhetnoe-uchrezhdenie-tsentr-ozdorovleniya-i-otdyiha-molodezhnyij/</t>
        </is>
      </c>
    </row>
    <row r="98" ht="23.85" customHeight="1" s="26">
      <c r="A98" s="49" t="n">
        <v>97</v>
      </c>
      <c r="B98" s="49" t="inlineStr">
        <is>
          <t>4 — не проверено</t>
        </is>
      </c>
      <c r="C98" s="49" t="inlineStr">
        <is>
          <t>БТЛ-ПИТЕР</t>
        </is>
      </c>
      <c r="D98" s="49" t="inlineStr">
        <is>
          <t>Менеджер BTL-проектов (Event + Promo)</t>
        </is>
      </c>
      <c r="E98" s="50" t="inlineStr">
        <is>
          <t>https://spb.hh.ru/vacancies/btl_menedzher/polniy_den</t>
        </is>
      </c>
      <c r="F98" s="46" t="inlineStr">
        <is>
          <t>info@btl-piter.ru; btl-piter@mail.ru</t>
        </is>
      </c>
      <c r="G98" s="46" t="inlineStr">
        <is>
          <t>+7 (812) 454-53-73</t>
        </is>
      </c>
      <c r="H98" s="46" t="inlineStr">
        <is>
          <t>Отдельных HR-контактов не найдено</t>
        </is>
      </c>
      <c r="I98" s="46" t="inlineStr">
        <is>
          <t>https://btl-piter.ru</t>
        </is>
      </c>
      <c r="J98" s="49" t="inlineStr">
        <is>
          <t>?</t>
        </is>
      </c>
      <c r="K98" s="49" t="inlineStr">
        <is>
          <t>?</t>
        </is>
      </c>
      <c r="L98" s="49" t="inlineStr">
        <is>
          <t>?; ?</t>
        </is>
      </c>
      <c r="M98" s="49" t="inlineStr">
        <is>
          <t>?</t>
        </is>
      </c>
      <c r="N98" s="49" t="inlineStr">
        <is>
          <t>не найдена в каталогах</t>
        </is>
      </c>
      <c r="O98" s="49" t="inlineStr">
        <is>
          <t>низкая</t>
        </is>
      </c>
      <c r="P98" s="49" t="inlineStr">
        <is>
          <t>Не проверено (?)</t>
        </is>
      </c>
      <c r="Q98" s="49" t="n">
        <v>5</v>
      </c>
      <c r="R98" s="49" t="inlineStr">
        <is>
          <t>BTL</t>
        </is>
      </c>
      <c r="S98" s="44" t="inlineStr">
        <is>
          <t>https://www.orgpage.ru/sankt-peterburg/btl-piter-895293.html</t>
        </is>
      </c>
    </row>
    <row r="99" ht="23.85" customHeight="1" s="26">
      <c r="A99" s="49" t="n">
        <v>98</v>
      </c>
      <c r="B99" s="49" t="inlineStr">
        <is>
          <t>4 — не проверено</t>
        </is>
      </c>
      <c r="C99" s="49" t="inlineStr">
        <is>
          <t>Агентство MANIFEST</t>
        </is>
      </c>
      <c r="D99" s="49" t="inlineStr">
        <is>
          <t>Проджект-менеджер / координатор проектов</t>
        </is>
      </c>
      <c r="E99" s="50" t="inlineStr">
        <is>
          <t>https://spb.careerist.ru/jobs-koordinator-proektov/</t>
        </is>
      </c>
      <c r="F99" s="46" t="inlineStr">
        <is>
          <t>spbmanifest@gmail.com</t>
        </is>
      </c>
      <c r="G99" s="46" t="inlineStr">
        <is>
          <t>+7 (909) 592-25-92</t>
        </is>
      </c>
      <c r="H99" s="46" t="inlineStr">
        <is>
          <t>Instagram @manifestevent</t>
        </is>
      </c>
      <c r="I99" s="46" t="inlineStr">
        <is>
          <t>не найден</t>
        </is>
      </c>
      <c r="J99" s="49" t="inlineStr">
        <is>
          <t>?</t>
        </is>
      </c>
      <c r="K99" s="49" t="inlineStr">
        <is>
          <t>?</t>
        </is>
      </c>
      <c r="L99" s="49" t="inlineStr">
        <is>
          <t>?; ?</t>
        </is>
      </c>
      <c r="M99" s="49" t="inlineStr">
        <is>
          <t>?</t>
        </is>
      </c>
      <c r="N99" s="49" t="inlineStr">
        <is>
          <t>не найдена в каталогах</t>
        </is>
      </c>
      <c r="O99" s="49" t="inlineStr">
        <is>
          <t>низкая</t>
        </is>
      </c>
      <c r="P99" s="49" t="inlineStr">
        <is>
          <t>Не проверено (?)</t>
        </is>
      </c>
      <c r="Q99" s="49" t="n">
        <v>5</v>
      </c>
      <c r="R99" s="49" t="n"/>
      <c r="S99" s="44" t="inlineStr">
        <is>
          <t>https://www.instagram.com/manifestevent/</t>
        </is>
      </c>
    </row>
    <row r="100" ht="23.85" customHeight="1" s="26">
      <c r="A100" s="49" t="n">
        <v>99</v>
      </c>
      <c r="B100" s="49" t="inlineStr">
        <is>
          <t>4 — не проверено</t>
        </is>
      </c>
      <c r="C100" s="49" t="inlineStr">
        <is>
          <t>Zum Punkt</t>
        </is>
      </c>
      <c r="D100" s="49" t="inlineStr">
        <is>
          <t>Junior Project Manager</t>
        </is>
      </c>
      <c r="E100" s="50" t="inlineStr">
        <is>
          <t>https://spb.hh.ru/vacancies/production_manager</t>
        </is>
      </c>
      <c r="F100" s="46" t="inlineStr">
        <is>
          <t>start@zumpunkt.ru</t>
        </is>
      </c>
      <c r="G100" s="46" t="inlineStr">
        <is>
          <t>+7 (812) 715-14-12</t>
        </is>
      </c>
      <c r="H100" s="46" t="inlineStr">
        <is>
          <t>Отдельных HR-контактов не найдено</t>
        </is>
      </c>
      <c r="I100" s="46" t="inlineStr">
        <is>
          <t>https://zumpunkt.ru</t>
        </is>
      </c>
      <c r="J100" s="49" t="inlineStr">
        <is>
          <t>?</t>
        </is>
      </c>
      <c r="K100" s="49" t="inlineStr">
        <is>
          <t>?</t>
        </is>
      </c>
      <c r="L100" s="49" t="inlineStr">
        <is>
          <t>от 60 тыс.; без опыта</t>
        </is>
      </c>
      <c r="M100" s="49" t="inlineStr">
        <is>
          <t>?</t>
        </is>
      </c>
      <c r="N100" s="49" t="inlineStr">
        <is>
          <t>не найдена в каталогах</t>
        </is>
      </c>
      <c r="O100" s="49" t="inlineStr">
        <is>
          <t>низкая</t>
        </is>
      </c>
      <c r="P100" s="49" t="inlineStr">
        <is>
          <t>Не проверено (?)</t>
        </is>
      </c>
      <c r="Q100" s="49" t="n">
        <v>5</v>
      </c>
      <c r="R100" s="49" t="n"/>
      <c r="S100" s="44" t="inlineStr">
        <is>
          <t>https://yandex.ru/adv/contact/agencies/zumpunkt</t>
        </is>
      </c>
    </row>
    <row r="101" ht="23.85" customHeight="1" s="26">
      <c r="A101" s="49" t="n">
        <v>100</v>
      </c>
      <c r="B101" s="49" t="inlineStr">
        <is>
          <t>4 — не проверено</t>
        </is>
      </c>
      <c r="C101" s="49" t="inlineStr">
        <is>
          <t>ЭкспоФорум Интернэшнл</t>
        </is>
      </c>
      <c r="D101" s="49" t="inlineStr">
        <is>
          <t>Ведущий специалист отдела конгрессов</t>
        </is>
      </c>
      <c r="E101" s="50" t="inlineStr">
        <is>
          <t>https://spb.hh.ru/vacancies/veduschij-meropriyatij</t>
        </is>
      </c>
      <c r="F101" s="46" t="inlineStr">
        <is>
          <t>info@expoforum.ru</t>
        </is>
      </c>
      <c r="G101" s="46" t="inlineStr">
        <is>
          <t>+7 (812) 240-40-40</t>
        </is>
      </c>
      <c r="H101" s="46" t="inlineStr">
        <is>
          <t>Отдельных HR-контактов не найдено</t>
        </is>
      </c>
      <c r="I101" s="46" t="inlineStr">
        <is>
          <t>https://www.expoforum.ru</t>
        </is>
      </c>
      <c r="J101" s="49" t="inlineStr">
        <is>
          <t>?</t>
        </is>
      </c>
      <c r="K101" s="49" t="inlineStr">
        <is>
          <t>?</t>
        </is>
      </c>
      <c r="L101" s="49" t="inlineStr">
        <is>
          <t>от 110 тыс.; 1–3 года</t>
        </is>
      </c>
      <c r="M101" s="49" t="inlineStr">
        <is>
          <t>?</t>
        </is>
      </c>
      <c r="N101" s="49" t="inlineStr">
        <is>
          <t>не найдена в каталогах</t>
        </is>
      </c>
      <c r="O101" s="49" t="inlineStr">
        <is>
          <t>—</t>
        </is>
      </c>
      <c r="P101" s="49" t="inlineStr">
        <is>
          <t>Не прочитано</t>
        </is>
      </c>
      <c r="Q101" s="49" t="inlineStr">
        <is>
          <t>исх.</t>
        </is>
      </c>
      <c r="R101" s="49" t="inlineStr">
        <is>
          <t>ID вакансии не найден</t>
        </is>
      </c>
      <c r="S101" s="44" t="inlineStr">
        <is>
          <t>https://companies.rbc.ru/id/1127847173068-ooo-ekspoforum-interneshnl/</t>
        </is>
      </c>
    </row>
    <row r="102" ht="23.85" customHeight="1" s="26">
      <c r="A102" s="49" t="n">
        <v>101</v>
      </c>
      <c r="B102" s="49" t="inlineStr">
        <is>
          <t>4 — не проверено</t>
        </is>
      </c>
      <c r="C102" s="49" t="inlineStr">
        <is>
          <t>Дом молодёжи Приморского р-на</t>
        </is>
      </c>
      <c r="D102" s="49" t="n"/>
      <c r="E102" s="49" t="n"/>
      <c r="F102" s="46" t="inlineStr">
        <is>
          <t>info@dom-mol.ru</t>
        </is>
      </c>
      <c r="G102" s="46" t="inlineStr">
        <is>
          <t>+7 (812) 342-99-42</t>
        </is>
      </c>
      <c r="H102" s="46" t="inlineStr">
        <is>
          <t>Отдельных HR-контактов не найдено</t>
        </is>
      </c>
      <c r="I102" s="46" t="inlineStr">
        <is>
          <t>http://dom-mol.ru</t>
        </is>
      </c>
      <c r="J102" s="49" t="n"/>
      <c r="K102" s="49" t="n"/>
      <c r="L102" s="49" t="n"/>
      <c r="M102" s="49" t="n"/>
      <c r="N102" s="49" t="inlineStr">
        <is>
          <t>не найдена в каталогах</t>
        </is>
      </c>
      <c r="O102" s="49" t="n"/>
      <c r="P102" s="49" t="inlineStr">
        <is>
          <t>Исходный список: ниже порога / скрыт</t>
        </is>
      </c>
      <c r="Q102" s="49" t="inlineStr">
        <is>
          <t>исх.</t>
        </is>
      </c>
      <c r="R102" s="49" t="n"/>
      <c r="S102" s="44" t="inlineStr">
        <is>
          <t>http://dom-mol.ru/contacts</t>
        </is>
      </c>
    </row>
    <row r="103" ht="23.85" customHeight="1" s="26">
      <c r="A103" s="49" t="n">
        <v>102</v>
      </c>
      <c r="B103" s="49" t="inlineStr">
        <is>
          <t>4 — не проверено</t>
        </is>
      </c>
      <c r="C103" s="49" t="inlineStr">
        <is>
          <t>Акваарт</t>
        </is>
      </c>
      <c r="D103" s="49" t="n"/>
      <c r="E103" s="49" t="n"/>
      <c r="F103" s="46" t="inlineStr">
        <is>
          <t>anna.garice@aquaart.ru (проверить, та ли «Акваарт» — найдена компания-продавец сантехники)</t>
        </is>
      </c>
      <c r="G103" s="46" t="inlineStr">
        <is>
          <t>+7 (812) 320-00-55</t>
        </is>
      </c>
      <c r="H103" s="46" t="inlineStr">
        <is>
          <t>Отдельных HR-контактов не найдено</t>
        </is>
      </c>
      <c r="I103" s="46" t="inlineStr">
        <is>
          <t>https://aquaart.ru (проверить)</t>
        </is>
      </c>
      <c r="J103" s="49" t="n"/>
      <c r="K103" s="49" t="n"/>
      <c r="L103" s="49" t="n"/>
      <c r="M103" s="49" t="n"/>
      <c r="N103" s="49" t="inlineStr">
        <is>
          <t>не найдена в каталогах</t>
        </is>
      </c>
      <c r="O103" s="49" t="n"/>
      <c r="P103" s="49" t="inlineStr">
        <is>
          <t>Исходный список: ниже порога / скрыт</t>
        </is>
      </c>
      <c r="Q103" s="49" t="inlineStr">
        <is>
          <t>исх.</t>
        </is>
      </c>
      <c r="R103" s="49" t="n"/>
      <c r="S103" s="44" t="inlineStr">
        <is>
          <t>https://companies.rbc.ru/id/1157847141737-aquaart-group/</t>
        </is>
      </c>
    </row>
    <row r="104" ht="23.85" customHeight="1" s="26">
      <c r="A104" s="49" t="n">
        <v>103</v>
      </c>
      <c r="B104" s="49" t="inlineStr">
        <is>
          <t>4 — не проверено</t>
        </is>
      </c>
      <c r="C104" s="49" t="inlineStr">
        <is>
          <t>Фонд Росконгресс</t>
        </is>
      </c>
      <c r="D104" s="49" t="n"/>
      <c r="E104" s="49" t="n"/>
      <c r="F104" s="46" t="inlineStr">
        <is>
          <t>info@roscongress.org</t>
        </is>
      </c>
      <c r="G104" s="46" t="inlineStr">
        <is>
          <t>+7 (495) 640-44-40</t>
        </is>
      </c>
      <c r="H104" s="46" t="inlineStr">
        <is>
          <t>Отдельных HR-контактов не найдено</t>
        </is>
      </c>
      <c r="I104" s="46" t="inlineStr">
        <is>
          <t>https://roscongress.org</t>
        </is>
      </c>
      <c r="J104" s="49" t="n"/>
      <c r="K104" s="49" t="n"/>
      <c r="L104" s="49" t="n"/>
      <c r="M104" s="49" t="n"/>
      <c r="N104" s="49" t="inlineStr">
        <is>
          <t>не найдена в каталогах</t>
        </is>
      </c>
      <c r="O104" s="49" t="n"/>
      <c r="P104" s="49" t="inlineStr">
        <is>
          <t>Исходный список: ниже порога / скрыт</t>
        </is>
      </c>
      <c r="Q104" s="49" t="inlineStr">
        <is>
          <t>исх.</t>
        </is>
      </c>
      <c r="R104" s="49" t="n"/>
      <c r="S104" s="44" t="inlineStr">
        <is>
          <t>https://market.neftegaz.ru/catalog/company/502086-fond-roskongress/</t>
        </is>
      </c>
    </row>
    <row r="105" ht="23.85" customHeight="1" s="26">
      <c r="A105" s="49" t="n">
        <v>104</v>
      </c>
      <c r="B105" s="49" t="inlineStr">
        <is>
          <t>4 — не проверено</t>
        </is>
      </c>
      <c r="C105" s="49" t="inlineStr">
        <is>
          <t>ЦПВ «Дзержинец»</t>
        </is>
      </c>
      <c r="D105" s="49" t="n"/>
      <c r="E105" s="49" t="n"/>
      <c r="F105" s="46" t="inlineStr">
        <is>
          <t>sekret@dzspb.ru</t>
        </is>
      </c>
      <c r="G105" s="46" t="inlineStr">
        <is>
          <t>+7 (812) 273-47-76</t>
        </is>
      </c>
      <c r="H105" s="46" t="inlineStr">
        <is>
          <t>Отдельных HR-контактов не найдено</t>
        </is>
      </c>
      <c r="I105" s="46" t="inlineStr">
        <is>
          <t>http://dzerjinets.kpmp.gov.spb.ru</t>
        </is>
      </c>
      <c r="J105" s="49" t="n"/>
      <c r="K105" s="49" t="n"/>
      <c r="L105" s="49" t="n"/>
      <c r="M105" s="49" t="n"/>
      <c r="N105" s="49" t="inlineStr">
        <is>
          <t>не найдена в каталогах</t>
        </is>
      </c>
      <c r="O105" s="49" t="n"/>
      <c r="P105" s="49" t="inlineStr">
        <is>
          <t>Исходный список: ниже порога / скрыт</t>
        </is>
      </c>
      <c r="Q105" s="49" t="inlineStr">
        <is>
          <t>исх.</t>
        </is>
      </c>
      <c r="R105" s="49" t="n"/>
      <c r="S105" s="44" t="inlineStr">
        <is>
          <t>http://dzerjinets.kpmp.gov.spb.ru/</t>
        </is>
      </c>
    </row>
    <row r="106" ht="23.85" customHeight="1" s="26">
      <c r="A106" s="49" t="n">
        <v>105</v>
      </c>
      <c r="B106" s="49" t="inlineStr">
        <is>
          <t>4 — не проверено</t>
        </is>
      </c>
      <c r="C106" s="49" t="inlineStr">
        <is>
          <t>Дом молодёжи «Пулковец»</t>
        </is>
      </c>
      <c r="D106" s="49" t="n"/>
      <c r="E106" s="49" t="n"/>
      <c r="F106" s="46" t="inlineStr">
        <is>
          <t>pulkovec@mail.ru</t>
        </is>
      </c>
      <c r="G106" s="46" t="inlineStr">
        <is>
          <t>+7 (812) 413-59-36; +7 (812) 413-58-20</t>
        </is>
      </c>
      <c r="H106" s="46" t="inlineStr">
        <is>
          <t>Отдельных HR-контактов не найдено</t>
        </is>
      </c>
      <c r="I106" s="46" t="inlineStr">
        <is>
          <t>https://dm.pulkovec.ru</t>
        </is>
      </c>
      <c r="J106" s="49" t="n"/>
      <c r="K106" s="49" t="n"/>
      <c r="L106" s="49" t="n"/>
      <c r="M106" s="49" t="n"/>
      <c r="N106" s="49" t="inlineStr">
        <is>
          <t>не найдена в каталогах</t>
        </is>
      </c>
      <c r="O106" s="49" t="n"/>
      <c r="P106" s="49" t="inlineStr">
        <is>
          <t>Исходный список: ниже порога / скрыт</t>
        </is>
      </c>
      <c r="Q106" s="49" t="inlineStr">
        <is>
          <t>исх.</t>
        </is>
      </c>
      <c r="R106" s="49" t="n"/>
      <c r="S106" s="44" t="inlineStr">
        <is>
          <t>https://www.rusprofile.ru/id/4487698</t>
        </is>
      </c>
    </row>
    <row r="107" ht="23.85" customHeight="1" s="26">
      <c r="A107" s="51" t="n">
        <v>106</v>
      </c>
      <c r="B107" s="51" t="inlineStr">
        <is>
          <t>—</t>
        </is>
      </c>
      <c r="C107" s="51" t="inlineStr">
        <is>
          <t>АО ЭДУТЕХ ГРУПП</t>
        </is>
      </c>
      <c r="D107" s="51" t="inlineStr">
        <is>
          <t>Ивент-менеджер (профориентация в школах)</t>
        </is>
      </c>
      <c r="E107" s="52" t="inlineStr">
        <is>
          <t>https://hh.ru/vacancy/138136549</t>
        </is>
      </c>
      <c r="F107" s="53" t="inlineStr">
        <is>
          <t>info@edutech-group.ru</t>
        </is>
      </c>
      <c r="G107" s="53" t="inlineStr">
        <is>
          <t>+7 (812) 648-32-79</t>
        </is>
      </c>
      <c r="H107" s="53" t="inlineStr">
        <is>
          <t>Отдельных HR-контактов не найдено</t>
        </is>
      </c>
      <c r="I107" s="53" t="inlineStr">
        <is>
          <t>https://edutech-group.ru</t>
        </is>
      </c>
      <c r="J107" s="51" t="inlineStr">
        <is>
          <t>Б6 Б7</t>
        </is>
      </c>
      <c r="K107" s="51" t="n">
        <v>2</v>
      </c>
      <c r="L107" s="51" t="inlineStr">
        <is>
          <t>до 80 тыс.; 1–3 года</t>
        </is>
      </c>
      <c r="M107" s="51" t="inlineStr">
        <is>
          <t>ТД / ГПХ</t>
        </is>
      </c>
      <c r="N107" s="51" t="inlineStr">
        <is>
          <t>да (hh 138136549)</t>
        </is>
      </c>
      <c r="O107" s="51" t="inlineStr">
        <is>
          <t>высокая</t>
        </is>
      </c>
      <c r="P107" s="51" t="inlineStr">
        <is>
          <t>Отсеяно после проверки</t>
        </is>
      </c>
      <c r="Q107" s="51" t="n">
        <v>6</v>
      </c>
      <c r="R107" s="51" t="inlineStr">
        <is>
          <t>По факту ведение уроков; нет Б1/Б2/Б4</t>
        </is>
      </c>
      <c r="S107" s="44" t="inlineStr">
        <is>
          <t>https://edutech-group.ru/contacts</t>
        </is>
      </c>
    </row>
    <row r="108" ht="23.85" customHeight="1" s="26">
      <c r="A108" s="51" t="n">
        <v>107</v>
      </c>
      <c r="B108" s="51" t="inlineStr">
        <is>
          <t>—</t>
        </is>
      </c>
      <c r="C108" s="51" t="inlineStr">
        <is>
          <t>Большой Санкт-Петербургский госцирк</t>
        </is>
      </c>
      <c r="D108" s="51" t="inlineStr">
        <is>
          <t>Главный администратор цирка</t>
        </is>
      </c>
      <c r="E108" s="52" t="inlineStr">
        <is>
          <t>https://hh.ru/vacancy/137589194</t>
        </is>
      </c>
      <c r="F108" s="53" t="inlineStr">
        <is>
          <t>info@circus.spb.ru</t>
        </is>
      </c>
      <c r="G108" s="53" t="inlineStr">
        <is>
          <t>+7 (812) 570-54-11; +7 (812) 570-51-98</t>
        </is>
      </c>
      <c r="H108" s="53" t="inlineStr">
        <is>
          <t>Отдельных HR-контактов не найдено</t>
        </is>
      </c>
      <c r="I108" s="53" t="inlineStr">
        <is>
          <t>https://www.circus.spb.ru</t>
        </is>
      </c>
      <c r="J108" s="51" t="inlineStr">
        <is>
          <t>Б6 Б7</t>
        </is>
      </c>
      <c r="K108" s="51" t="n">
        <v>2</v>
      </c>
      <c r="L108" s="51" t="inlineStr">
        <is>
          <t>90 тыс.; 3–6 лет</t>
        </is>
      </c>
      <c r="M108" s="51" t="inlineStr">
        <is>
          <t>ТД</t>
        </is>
      </c>
      <c r="N108" s="51" t="inlineStr">
        <is>
          <t>да (hh 137589194)</t>
        </is>
      </c>
      <c r="O108" s="51" t="inlineStr">
        <is>
          <t>высокая</t>
        </is>
      </c>
      <c r="P108" s="51" t="inlineStr">
        <is>
          <t>Отсеяно после проверки</t>
        </is>
      </c>
      <c r="Q108" s="51" t="n">
        <v>6</v>
      </c>
      <c r="R108" s="51" t="inlineStr">
        <is>
          <t>Администрирование зала; нет Б1/Б2/Б4</t>
        </is>
      </c>
      <c r="S108" s="44" t="inlineStr">
        <is>
          <t>https://kuda-spb.ru/place/bolshoj-sankt-peterburgskij-gosudarstvennyj-tsirk/</t>
        </is>
      </c>
    </row>
    <row r="109" ht="15" customHeight="1" s="26">
      <c r="A109" s="51" t="n">
        <v>108</v>
      </c>
      <c r="B109" s="51" t="inlineStr">
        <is>
          <t>—</t>
        </is>
      </c>
      <c r="C109" s="51" t="inlineStr">
        <is>
          <t>STAFF point</t>
        </is>
      </c>
      <c r="D109" s="51" t="inlineStr">
        <is>
          <t>Координатор отдела мерчендайзинга</t>
        </is>
      </c>
      <c r="E109" s="52" t="inlineStr">
        <is>
          <t>https://hh.ru/vacancy/137100238</t>
        </is>
      </c>
      <c r="F109" s="53" t="inlineStr">
        <is>
          <t>f.kerov@staffpoint.ru</t>
        </is>
      </c>
      <c r="G109" s="53" t="inlineStr">
        <is>
          <t>+7 (812) 986-47-84</t>
        </is>
      </c>
      <c r="H109" s="53" t="inlineStr">
        <is>
          <t>Отдельных HR-контактов не найдено</t>
        </is>
      </c>
      <c r="I109" s="53" t="inlineStr">
        <is>
          <t>https://staffpoint.ru</t>
        </is>
      </c>
      <c r="J109" s="51" t="inlineStr">
        <is>
          <t>Б7</t>
        </is>
      </c>
      <c r="K109" s="51" t="n">
        <v>1</v>
      </c>
      <c r="L109" s="51" t="inlineStr">
        <is>
          <t>от 75 тыс.; 1–3 года</t>
        </is>
      </c>
      <c r="M109" s="51" t="inlineStr">
        <is>
          <t>ТД</t>
        </is>
      </c>
      <c r="N109" s="51" t="inlineStr">
        <is>
          <t>да (hh 137100238)</t>
        </is>
      </c>
      <c r="O109" s="51" t="inlineStr">
        <is>
          <t>высокая</t>
        </is>
      </c>
      <c r="P109" s="51" t="inlineStr">
        <is>
          <t>Отсеяно после проверки</t>
        </is>
      </c>
      <c r="Q109" s="51" t="n">
        <v>6</v>
      </c>
      <c r="R109" s="51" t="inlineStr">
        <is>
          <t>Мерчендайзинг в рознице, не event</t>
        </is>
      </c>
      <c r="S109" s="44" t="inlineStr">
        <is>
          <t>https://staffpoint.ru/contacts</t>
        </is>
      </c>
    </row>
    <row r="110" ht="23.85" customHeight="1" s="26">
      <c r="A110" s="51" t="n">
        <v>109</v>
      </c>
      <c r="B110" s="51" t="inlineStr">
        <is>
          <t>—</t>
        </is>
      </c>
      <c r="C110" s="51" t="inlineStr">
        <is>
          <t>Судоходное агентство «Невский Флот»</t>
        </is>
      </c>
      <c r="D110" s="51" t="inlineStr">
        <is>
          <t>Event-менеджер / партнёр по рекомендациям</t>
        </is>
      </c>
      <c r="E110" s="52" t="inlineStr">
        <is>
          <t>https://hh.ru/vacancy/137174452</t>
        </is>
      </c>
      <c r="F110" s="53" t="inlineStr">
        <is>
          <t>zakaz@neva-flot.ru</t>
        </is>
      </c>
      <c r="G110" s="53" t="inlineStr">
        <is>
          <t>+7 (812) 980-70-23; +7 (911) 210-40-40</t>
        </is>
      </c>
      <c r="H110" s="53" t="inlineStr">
        <is>
          <t>Отдельных HR-контактов не найдено</t>
        </is>
      </c>
      <c r="I110" s="53" t="inlineStr">
        <is>
          <t>https://neva-flot.ru</t>
        </is>
      </c>
      <c r="J110" s="51" t="inlineStr">
        <is>
          <t>—</t>
        </is>
      </c>
      <c r="K110" s="51" t="n">
        <v>0</v>
      </c>
      <c r="L110" s="51" t="inlineStr">
        <is>
          <t>55–370 тыс. (% со сделок); без опыта</t>
        </is>
      </c>
      <c r="M110" s="51" t="inlineStr">
        <is>
          <t>ТД / ГПХ</t>
        </is>
      </c>
      <c r="N110" s="51" t="inlineStr">
        <is>
          <t>да (hh 137174452)</t>
        </is>
      </c>
      <c r="O110" s="51" t="inlineStr">
        <is>
          <t>высокая</t>
        </is>
      </c>
      <c r="P110" s="51" t="inlineStr">
        <is>
          <t>Отсеяно после проверки</t>
        </is>
      </c>
      <c r="Q110" s="51" t="n">
        <v>6</v>
      </c>
      <c r="R110" s="51" t="inlineStr">
        <is>
          <t>Поиск лидов за процент — продажи</t>
        </is>
      </c>
      <c r="S110" s="44" t="inlineStr">
        <is>
          <t>https://neva-flot.ru/kontaktyi/</t>
        </is>
      </c>
    </row>
    <row r="111" ht="23.85" customHeight="1" s="26">
      <c r="A111" s="51" t="n">
        <v>110</v>
      </c>
      <c r="B111" s="51" t="inlineStr">
        <is>
          <t>—</t>
        </is>
      </c>
      <c r="C111" s="51" t="inlineStr">
        <is>
          <t>Отель «Новый Петергоф»</t>
        </is>
      </c>
      <c r="D111" s="51" t="inlineStr">
        <is>
          <t>Координатор мероприятий (MICE)</t>
        </is>
      </c>
      <c r="E111" s="52" t="inlineStr">
        <is>
          <t>https://spb.hh.ru/vacancies/veduschij-meropriyatij</t>
        </is>
      </c>
      <c r="F111" s="53" t="inlineStr">
        <is>
          <t>info@new-peterhof.com; fb@new-peterhof.com</t>
        </is>
      </c>
      <c r="G111" s="53" t="inlineStr">
        <is>
          <t>+7 (812) 319-10-10</t>
        </is>
      </c>
      <c r="H111" s="53" t="inlineStr">
        <is>
          <t>Отдельных HR-контактов не найдено</t>
        </is>
      </c>
      <c r="I111" s="53" t="inlineStr">
        <is>
          <t>https://new-peterhof.com</t>
        </is>
      </c>
      <c r="J111" s="51" t="inlineStr">
        <is>
          <t>?</t>
        </is>
      </c>
      <c r="K111" s="51" t="inlineStr">
        <is>
          <t>?</t>
        </is>
      </c>
      <c r="L111" s="51" t="inlineStr">
        <is>
          <t>75–100 тыс.; 1–3 года</t>
        </is>
      </c>
      <c r="M111" s="51" t="inlineStr">
        <is>
          <t>?</t>
        </is>
      </c>
      <c r="N111" s="51" t="inlineStr">
        <is>
          <t>да (hh 137841038)</t>
        </is>
      </c>
      <c r="O111" s="51" t="inlineStr">
        <is>
          <t>низкая</t>
        </is>
      </c>
      <c r="P111" s="51" t="inlineStr">
        <is>
          <t>Отсеяно после проверки</t>
        </is>
      </c>
      <c r="Q111" s="51" t="n">
        <v>2</v>
      </c>
      <c r="R111" s="51" t="inlineStr">
        <is>
          <t>Открыта только MICE-продажи; координатор не найден</t>
        </is>
      </c>
      <c r="S111" s="44" t="inlineStr">
        <is>
          <t>https://new-peterhof.com/contacts/</t>
        </is>
      </c>
    </row>
    <row r="112" ht="23.85" customHeight="1" s="26">
      <c r="A112" s="51" t="n">
        <v>111</v>
      </c>
      <c r="B112" s="51" t="inlineStr">
        <is>
          <t>—</t>
        </is>
      </c>
      <c r="C112" s="51" t="inlineStr">
        <is>
          <t>СПб ГБУК Клуб «Выборгская сторона»</t>
        </is>
      </c>
      <c r="D112" s="51" t="inlineStr">
        <is>
          <t>Менеджер по культурно-массовому досугу</t>
        </is>
      </c>
      <c r="E112" s="52" t="inlineStr">
        <is>
          <t>https://spb.hh.ru/vacancies/menedzher_po_organizacii_meropriyatiy</t>
        </is>
      </c>
      <c r="F112" s="53" t="inlineStr">
        <is>
          <t>club-vs@yandex.ru</t>
        </is>
      </c>
      <c r="G112" s="53" t="inlineStr">
        <is>
          <t>+7 (812) 542-16-34; культ.-массовый отдел +7 (812) 542-11-94</t>
        </is>
      </c>
      <c r="H112" s="53" t="inlineStr">
        <is>
          <t>Отдельных HR-контактов не найдено</t>
        </is>
      </c>
      <c r="I112" s="53" t="inlineStr">
        <is>
          <t>https://vstorona.ru</t>
        </is>
      </c>
      <c r="J112" s="51" t="inlineStr">
        <is>
          <t>?</t>
        </is>
      </c>
      <c r="K112" s="51" t="inlineStr">
        <is>
          <t>?</t>
        </is>
      </c>
      <c r="L112" s="51" t="inlineStr">
        <is>
          <t>50–68 тыс.; 3–6 лет</t>
        </is>
      </c>
      <c r="M112" s="51" t="inlineStr">
        <is>
          <t>?</t>
        </is>
      </c>
      <c r="N112" s="51" t="inlineStr">
        <is>
          <t>да (hh 136405964)</t>
        </is>
      </c>
      <c r="O112" s="51" t="inlineStr">
        <is>
          <t>низкая</t>
        </is>
      </c>
      <c r="P112" s="51" t="inlineStr">
        <is>
          <t>Отсеяно после проверки</t>
        </is>
      </c>
      <c r="Q112" s="51" t="n">
        <v>3</v>
      </c>
      <c r="R112" s="51" t="inlineStr">
        <is>
          <t>Открыта; нет Б1/Б2/Б4, опыт 3–6</t>
        </is>
      </c>
      <c r="S112" s="44" t="inlineStr">
        <is>
          <t>https://vstorona.ru/</t>
        </is>
      </c>
    </row>
    <row r="113" ht="15" customHeight="1" s="26">
      <c r="A113" s="51" t="n">
        <v>112</v>
      </c>
      <c r="B113" s="51" t="inlineStr">
        <is>
          <t>—</t>
        </is>
      </c>
      <c r="C113" s="51" t="inlineStr">
        <is>
          <t>Деловой клуб «Эталон»</t>
        </is>
      </c>
      <c r="D113" s="51" t="inlineStr">
        <is>
          <t>Комьюнити-менеджер</t>
        </is>
      </c>
      <c r="E113" s="52" t="inlineStr">
        <is>
          <t>https://spb.hh.ru/vacancies/menedzher_po_organizacii_meropriyatiy</t>
        </is>
      </c>
      <c r="F113" s="53" t="inlineStr">
        <is>
          <t>welcome@etalon.club</t>
        </is>
      </c>
      <c r="G113" s="53" t="inlineStr">
        <is>
          <t>+7 (812) 578-01-00</t>
        </is>
      </c>
      <c r="H113" s="53" t="inlineStr">
        <is>
          <t>Отдельных HR-контактов не найдено</t>
        </is>
      </c>
      <c r="I113" s="53" t="inlineStr">
        <is>
          <t>https://etalon.club</t>
        </is>
      </c>
      <c r="J113" s="51" t="inlineStr">
        <is>
          <t>?</t>
        </is>
      </c>
      <c r="K113" s="51" t="inlineStr">
        <is>
          <t>?</t>
        </is>
      </c>
      <c r="L113" s="51" t="inlineStr">
        <is>
          <t>100–130 тыс.; 1–3 года</t>
        </is>
      </c>
      <c r="M113" s="51" t="inlineStr">
        <is>
          <t>?</t>
        </is>
      </c>
      <c r="N113" s="51" t="inlineStr">
        <is>
          <t>да (hh 137594208)</t>
        </is>
      </c>
      <c r="O113" s="51" t="inlineStr">
        <is>
          <t>низкая</t>
        </is>
      </c>
      <c r="P113" s="51" t="inlineStr">
        <is>
          <t>Отсеяно после проверки</t>
        </is>
      </c>
      <c r="Q113" s="51" t="n">
        <v>3</v>
      </c>
      <c r="R113" s="51" t="inlineStr">
        <is>
          <t>Открыта, но только Б6/Б7 (комьюнити)</t>
        </is>
      </c>
      <c r="S113" s="44" t="inlineStr">
        <is>
          <t>https://etalon.club/legal</t>
        </is>
      </c>
    </row>
    <row r="114" ht="23.85" customHeight="1" s="26">
      <c r="A114" s="51" t="n">
        <v>113</v>
      </c>
      <c r="B114" s="51" t="inlineStr">
        <is>
          <t>—</t>
        </is>
      </c>
      <c r="C114" s="51" t="inlineStr">
        <is>
          <t>Mouse House (семейный ресторан и клуб)</t>
        </is>
      </c>
      <c r="D114" s="51" t="inlineStr">
        <is>
          <t>Менеджер по организации мероприятий / event-менеджер</t>
        </is>
      </c>
      <c r="E114" s="52" t="inlineStr">
        <is>
          <t>https://spb.hh.ru/vacancies/veduschij-meropriyatij</t>
        </is>
      </c>
      <c r="F114" s="53" t="inlineStr">
        <is>
          <t>не найдена</t>
        </is>
      </c>
      <c r="G114" s="53" t="inlineStr">
        <is>
          <t>+7 (812) 244-74-55; +7 (812) 470-93-84</t>
        </is>
      </c>
      <c r="H114" s="53" t="inlineStr">
        <is>
          <t>Instagram @mousehousespb</t>
        </is>
      </c>
      <c r="I114" s="53" t="inlineStr">
        <is>
          <t>https://m-house.ru</t>
        </is>
      </c>
      <c r="J114" s="51" t="inlineStr">
        <is>
          <t>?</t>
        </is>
      </c>
      <c r="K114" s="51" t="inlineStr">
        <is>
          <t>?</t>
        </is>
      </c>
      <c r="L114" s="51" t="inlineStr">
        <is>
          <t>?; ?</t>
        </is>
      </c>
      <c r="M114" s="51" t="inlineStr">
        <is>
          <t>?</t>
        </is>
      </c>
      <c r="N114" s="51" t="inlineStr">
        <is>
          <t>да (hh 136144081)</t>
        </is>
      </c>
      <c r="O114" s="51" t="inlineStr">
        <is>
          <t>низкая</t>
        </is>
      </c>
      <c r="P114" s="51" t="inlineStr">
        <is>
          <t>Отсеяно после проверки</t>
        </is>
      </c>
      <c r="Q114" s="51" t="n">
        <v>3</v>
      </c>
      <c r="R114" s="51" t="inlineStr">
        <is>
          <t>Открыта только вакансия продаж мероприятий</t>
        </is>
      </c>
      <c r="S114" s="44" t="inlineStr">
        <is>
          <t>https://m-house.ru/about</t>
        </is>
      </c>
    </row>
    <row r="115" ht="15" customHeight="1" s="26">
      <c r="A115" s="51" t="n">
        <v>114</v>
      </c>
      <c r="B115" s="51" t="inlineStr">
        <is>
          <t>—</t>
        </is>
      </c>
      <c r="C115" s="51" t="inlineStr">
        <is>
          <t>Группа ресторанов А. Раппопорта</t>
        </is>
      </c>
      <c r="D115" s="51" t="inlineStr">
        <is>
          <t>Менеджер по организации мероприятий</t>
        </is>
      </c>
      <c r="E115" s="52" t="inlineStr">
        <is>
          <t>https://spb.careerist.ru/jobs-menedzher-po-organizatsii-meropriyatiy/</t>
        </is>
      </c>
      <c r="F115" s="53" t="inlineStr">
        <is>
          <t>не найдена (общая)</t>
        </is>
      </c>
      <c r="G115" s="53" t="inlineStr">
        <is>
          <t>+7 (499) 288-26-34</t>
        </is>
      </c>
      <c r="H115" s="53" t="inlineStr">
        <is>
          <t>hr.trapeza@leningradcenter.ru; +7 (921) 550-38-10 (вакансии СПб)</t>
        </is>
      </c>
      <c r="I115" s="53" t="inlineStr">
        <is>
          <t>https://rappoport.restaurant</t>
        </is>
      </c>
      <c r="J115" s="51" t="inlineStr">
        <is>
          <t>?</t>
        </is>
      </c>
      <c r="K115" s="51" t="inlineStr">
        <is>
          <t>?</t>
        </is>
      </c>
      <c r="L115" s="51" t="inlineStr">
        <is>
          <t>?; ?</t>
        </is>
      </c>
      <c r="M115" s="51" t="inlineStr">
        <is>
          <t>?</t>
        </is>
      </c>
      <c r="N115" s="51" t="inlineStr">
        <is>
          <t>да (hh 137787398)</t>
        </is>
      </c>
      <c r="O115" s="51" t="inlineStr">
        <is>
          <t>низкая</t>
        </is>
      </c>
      <c r="P115" s="51" t="inlineStr">
        <is>
          <t>Отсеяно после проверки</t>
        </is>
      </c>
      <c r="Q115" s="51" t="n">
        <v>4</v>
      </c>
      <c r="R115" s="51" t="inlineStr">
        <is>
          <t>Открыт только PR-менеджер ресторана</t>
        </is>
      </c>
      <c r="S115" s="44" t="inlineStr">
        <is>
          <t>https://delivery.rappoport.restaurant/pages/kontakty</t>
        </is>
      </c>
    </row>
    <row r="116" ht="15" customHeight="1" s="26">
      <c r="A116" s="51" t="n">
        <v>115</v>
      </c>
      <c r="B116" s="51" t="inlineStr">
        <is>
          <t>—</t>
        </is>
      </c>
      <c r="C116" s="51" t="inlineStr">
        <is>
          <t>Креативное агентство GREAT</t>
        </is>
      </c>
      <c r="D116" s="51" t="inlineStr">
        <is>
          <t>Junior Project Manager</t>
        </is>
      </c>
      <c r="E116" s="52" t="inlineStr">
        <is>
          <t>https://spb.careerist.ru/jobs-project-manager/</t>
        </is>
      </c>
      <c r="F116" s="53" t="inlineStr">
        <is>
          <t>hello@great.ru</t>
        </is>
      </c>
      <c r="G116" s="53" t="inlineStr">
        <is>
          <t>+7 (812) 622-00-22</t>
        </is>
      </c>
      <c r="H116" s="53" t="inlineStr">
        <is>
          <t>Отдельных HR-контактов не найдено</t>
        </is>
      </c>
      <c r="I116" s="53" t="inlineStr">
        <is>
          <t>https://great.ru</t>
        </is>
      </c>
      <c r="J116" s="51" t="inlineStr">
        <is>
          <t>?</t>
        </is>
      </c>
      <c r="K116" s="51" t="inlineStr">
        <is>
          <t>?</t>
        </is>
      </c>
      <c r="L116" s="51" t="inlineStr">
        <is>
          <t>до 70 тыс.; 1–3 года</t>
        </is>
      </c>
      <c r="M116" s="51" t="inlineStr">
        <is>
          <t>?</t>
        </is>
      </c>
      <c r="N116" s="51" t="inlineStr">
        <is>
          <t>да (hh 137923778)</t>
        </is>
      </c>
      <c r="O116" s="51" t="inlineStr">
        <is>
          <t>низкая</t>
        </is>
      </c>
      <c r="P116" s="51" t="inlineStr">
        <is>
          <t>Отсеяно после проверки</t>
        </is>
      </c>
      <c r="Q116" s="51" t="n">
        <v>5</v>
      </c>
      <c r="R116" s="51" t="inlineStr">
        <is>
          <t>Открыта Account manager: нет Б1/Б2/Б4</t>
        </is>
      </c>
      <c r="S116" s="44" t="inlineStr">
        <is>
          <t>https://great.ru/agency/contacts</t>
        </is>
      </c>
    </row>
  </sheetData>
  <autoFilter ref="A1:R116"/>
  <dataValidations count="1">
    <dataValidation sqref="P2:P316" showDropDown="0" showInputMessage="0" showErrorMessage="0" allowBlank="1" type="list" errorStyle="stop" operator="between">
      <formula1>"Подтверждено (полный текст),Проходит по сниппету,Не проверено (?),Текст скрыт (архив),Исходный список: с баллом,Исходный список: ниже порога / скрыт,Не прочитано,Отсеяно после проверки"</formula1>
      <formula2>0</formula2>
    </dataValidation>
  </dataValidations>
  <hyperlinks>
    <hyperlink xmlns:r="http://schemas.openxmlformats.org/officeDocument/2006/relationships" ref="E2" display="https://hh.ru/vacancy/137789524" r:id="rId1"/>
    <hyperlink xmlns:r="http://schemas.openxmlformats.org/officeDocument/2006/relationships" ref="I2" display="https://www.red-media.ru" r:id="rId2"/>
    <hyperlink xmlns:r="http://schemas.openxmlformats.org/officeDocument/2006/relationships" ref="E3" display="https://hh.ru/vacancy/137752762" r:id="rId3"/>
    <hyperlink xmlns:r="http://schemas.openxmlformats.org/officeDocument/2006/relationships" ref="I3" display="https://www.hotel-aquamarin.ru" r:id="rId4"/>
    <hyperlink xmlns:r="http://schemas.openxmlformats.org/officeDocument/2006/relationships" ref="E4" display="https://hh.ru/vacancy/138131566" r:id="rId5"/>
    <hyperlink xmlns:r="http://schemas.openxmlformats.org/officeDocument/2006/relationships" ref="I4" display="https://baltgem.ru" r:id="rId6"/>
    <hyperlink xmlns:r="http://schemas.openxmlformats.org/officeDocument/2006/relationships" ref="E5" display="https://hh.ru/vacancy/137973183" r:id="rId7"/>
    <hyperlink xmlns:r="http://schemas.openxmlformats.org/officeDocument/2006/relationships" ref="I5" display="https://planeta-dobra.life" r:id="rId8"/>
    <hyperlink xmlns:r="http://schemas.openxmlformats.org/officeDocument/2006/relationships" ref="E6" display="https://hh.ru/vacancy/137407118" r:id="rId9"/>
    <hyperlink xmlns:r="http://schemas.openxmlformats.org/officeDocument/2006/relationships" ref="E7" display="https://hh.ru/vacancy/137648945" r:id="rId10"/>
    <hyperlink xmlns:r="http://schemas.openxmlformats.org/officeDocument/2006/relationships" ref="I7" display="https://rexamed.ru (бренд REXAMED)" r:id="rId11"/>
    <hyperlink xmlns:r="http://schemas.openxmlformats.org/officeDocument/2006/relationships" ref="E8" display="https://hh.ru/vacancy/137764190" r:id="rId12"/>
    <hyperlink xmlns:r="http://schemas.openxmlformats.org/officeDocument/2006/relationships" ref="I8" display="https://stremlenie.club" r:id="rId13"/>
    <hyperlink xmlns:r="http://schemas.openxmlformats.org/officeDocument/2006/relationships" ref="E9" display="https://hh.ru/vacancy/137214389" r:id="rId14"/>
    <hyperlink xmlns:r="http://schemas.openxmlformats.org/officeDocument/2006/relationships" ref="I9" display="http://www.watermark.ru" r:id="rId15"/>
    <hyperlink xmlns:r="http://schemas.openxmlformats.org/officeDocument/2006/relationships" ref="E10" display="https://hh.ru/vacancy/137124171" r:id="rId16"/>
    <hyperlink xmlns:r="http://schemas.openxmlformats.org/officeDocument/2006/relationships" ref="I10" display="https://sliceofjoy.ru" r:id="rId17"/>
    <hyperlink xmlns:r="http://schemas.openxmlformats.org/officeDocument/2006/relationships" ref="E11" display="https://hh.ru/vacancy/137628815" r:id="rId18"/>
    <hyperlink xmlns:r="http://schemas.openxmlformats.org/officeDocument/2006/relationships" ref="I11" display="https://www.dellin.ru" r:id="rId19"/>
    <hyperlink xmlns:r="http://schemas.openxmlformats.org/officeDocument/2006/relationships" ref="E12" display="https://hh.ru/vacancy/137878159" r:id="rId20"/>
    <hyperlink xmlns:r="http://schemas.openxmlformats.org/officeDocument/2006/relationships" ref="I12" display="https://leninskoeclub.ru (загородный клуб «Ленинское»)" r:id="rId21"/>
    <hyperlink xmlns:r="http://schemas.openxmlformats.org/officeDocument/2006/relationships" ref="E13" display="https://hh.ru/vacancy/137732623" r:id="rId22"/>
    <hyperlink xmlns:r="http://schemas.openxmlformats.org/officeDocument/2006/relationships" ref="I13" display="https://www.trkraduga.ru (ТРК «Питер Радуга»)" r:id="rId23"/>
    <hyperlink xmlns:r="http://schemas.openxmlformats.org/officeDocument/2006/relationships" ref="E14" display="https://hh.ru/vacancy/137822005" r:id="rId24"/>
    <hyperlink xmlns:r="http://schemas.openxmlformats.org/officeDocument/2006/relationships" ref="I14" display="https://jagger.live" r:id="rId25"/>
    <hyperlink xmlns:r="http://schemas.openxmlformats.org/officeDocument/2006/relationships" ref="E15" display="https://hh.ru/vacancy/137344671" r:id="rId26"/>
    <hyperlink xmlns:r="http://schemas.openxmlformats.org/officeDocument/2006/relationships" ref="E16" display="https://hh.ru/vacancy/137725227" r:id="rId27"/>
    <hyperlink xmlns:r="http://schemas.openxmlformats.org/officeDocument/2006/relationships" ref="E17" display="https://hh.ru/vacancy/137599637" r:id="rId28"/>
    <hyperlink xmlns:r="http://schemas.openxmlformats.org/officeDocument/2006/relationships" ref="I17" display="https://nevsky-bears.ru" r:id="rId29"/>
    <hyperlink xmlns:r="http://schemas.openxmlformats.org/officeDocument/2006/relationships" ref="E18" display="https://hh.ru/vacancy/136925471" r:id="rId30"/>
    <hyperlink xmlns:r="http://schemas.openxmlformats.org/officeDocument/2006/relationships" ref="I18" display="https://magnatmedia.com" r:id="rId31"/>
    <hyperlink xmlns:r="http://schemas.openxmlformats.org/officeDocument/2006/relationships" ref="E19" display="https://hh.ru/vacancy/136832995" r:id="rId32"/>
    <hyperlink xmlns:r="http://schemas.openxmlformats.org/officeDocument/2006/relationships" ref="I19" display="http://stc-spb.ru" r:id="rId33"/>
    <hyperlink xmlns:r="http://schemas.openxmlformats.org/officeDocument/2006/relationships" ref="E20" display="https://hh.ru/vacancy/137703166" r:id="rId34"/>
    <hyperlink xmlns:r="http://schemas.openxmlformats.org/officeDocument/2006/relationships" ref="I20" display="http://www.seahomeresort.ru" r:id="rId35"/>
    <hyperlink xmlns:r="http://schemas.openxmlformats.org/officeDocument/2006/relationships" ref="E21" display="https://hh.ru/vacancy/137877541" r:id="rId36"/>
    <hyperlink xmlns:r="http://schemas.openxmlformats.org/officeDocument/2006/relationships" ref="I21" display="https://vipfish.ru" r:id="rId37"/>
    <hyperlink xmlns:r="http://schemas.openxmlformats.org/officeDocument/2006/relationships" ref="E22" display="https://hh.ru/vacancy/136715334" r:id="rId38"/>
    <hyperlink xmlns:r="http://schemas.openxmlformats.org/officeDocument/2006/relationships" ref="I22" display="https://oxygen-agency.ru" r:id="rId39"/>
    <hyperlink xmlns:r="http://schemas.openxmlformats.org/officeDocument/2006/relationships" ref="E23" display="https://hh.ru/vacancy/137512283" r:id="rId40"/>
    <hyperlink xmlns:r="http://schemas.openxmlformats.org/officeDocument/2006/relationships" ref="I23" display="https://www.antrepriza-spb.ru" r:id="rId41"/>
    <hyperlink xmlns:r="http://schemas.openxmlformats.org/officeDocument/2006/relationships" ref="E37" display="https://zarplata.ru/vacancy/125867439" r:id="rId42"/>
    <hyperlink xmlns:r="http://schemas.openxmlformats.org/officeDocument/2006/relationships" ref="E38" display="https://h.careers/job/7a25ae0d-8a05-4a45-a008-88a864a6dfd2" r:id="rId43"/>
    <hyperlink xmlns:r="http://schemas.openxmlformats.org/officeDocument/2006/relationships" ref="E39" display="https://hh.ru/vacancy/133749565" r:id="rId44"/>
    <hyperlink xmlns:r="http://schemas.openxmlformats.org/officeDocument/2006/relationships" ref="E40" display="https://hh.ru/vacancy/111395239" r:id="rId45"/>
    <hyperlink xmlns:r="http://schemas.openxmlformats.org/officeDocument/2006/relationships" ref="E41" display="https://sankt-peterburg.jobfilter.ru/работа/координатор-проектов" r:id="rId46"/>
    <hyperlink xmlns:r="http://schemas.openxmlformats.org/officeDocument/2006/relationships" ref="E42" display="https://spb.zarplata.ru/vacancies/zakupshik" r:id="rId47"/>
    <hyperlink xmlns:r="http://schemas.openxmlformats.org/officeDocument/2006/relationships" ref="E43" display="https://math-cs.spbu.ru/vakansii/" r:id="rId48"/>
    <hyperlink xmlns:r="http://schemas.openxmlformats.org/officeDocument/2006/relationships" ref="E46" display="https://hh.ru/vacancy/131831550" r:id="rId49"/>
    <hyperlink xmlns:r="http://schemas.openxmlformats.org/officeDocument/2006/relationships" ref="E47" display="https://hh.ru/vacancy/130869449" r:id="rId50"/>
    <hyperlink xmlns:r="http://schemas.openxmlformats.org/officeDocument/2006/relationships" ref="E48" display="https://spb.hh.ru/vacancy/130841133" r:id="rId51"/>
    <hyperlink xmlns:r="http://schemas.openxmlformats.org/officeDocument/2006/relationships" ref="E49" display="https://spb.hh.ru/vacancies/spetsialist-po-upravleniyu-proektami" r:id="rId52"/>
    <hyperlink xmlns:r="http://schemas.openxmlformats.org/officeDocument/2006/relationships" ref="E50" display="https://spb.hh.ru/vacancies/organizator-meropriyatij" r:id="rId53"/>
    <hyperlink xmlns:r="http://schemas.openxmlformats.org/officeDocument/2006/relationships" ref="E51" display="https://spb.hh.ru/vacancies/veduschij-meropriyatij" r:id="rId54"/>
    <hyperlink xmlns:r="http://schemas.openxmlformats.org/officeDocument/2006/relationships" ref="E52" display="https://spb.hh.ru/vacancies/veduschij-meropriyatij" r:id="rId55"/>
    <hyperlink xmlns:r="http://schemas.openxmlformats.org/officeDocument/2006/relationships" ref="E53" display="https://spb.hh.ru/vacancies/organizator-meropriyatij" r:id="rId56"/>
    <hyperlink xmlns:r="http://schemas.openxmlformats.org/officeDocument/2006/relationships" ref="E54" display="https://spb.zarplata.ru/vacancies/organizator-meropriyatij" r:id="rId57"/>
    <hyperlink xmlns:r="http://schemas.openxmlformats.org/officeDocument/2006/relationships" ref="E55" display="https://spb.zarplata.ru/vacancies/organizator-meropriyatij" r:id="rId58"/>
    <hyperlink xmlns:r="http://schemas.openxmlformats.org/officeDocument/2006/relationships" ref="E56" display="https://spb.hh.ru/vacancies/organizator-meropriyatij" r:id="rId59"/>
    <hyperlink xmlns:r="http://schemas.openxmlformats.org/officeDocument/2006/relationships" ref="E57" display="https://spb.hh.ru/vacancies/menedzher_po_organizacii_meropriyatiy" r:id="rId60"/>
    <hyperlink xmlns:r="http://schemas.openxmlformats.org/officeDocument/2006/relationships" ref="E58" display="https://spb.hh.ru/vacancies/project_manager" r:id="rId61"/>
    <hyperlink xmlns:r="http://schemas.openxmlformats.org/officeDocument/2006/relationships" ref="E59" display="https://spb.zarplata.ru/vacancies/menedzher-po-organizatsii-vystavok" r:id="rId62"/>
    <hyperlink xmlns:r="http://schemas.openxmlformats.org/officeDocument/2006/relationships" ref="E60" display="https://spb.zarplata.ru/vacancies" r:id="rId63"/>
    <hyperlink xmlns:r="http://schemas.openxmlformats.org/officeDocument/2006/relationships" ref="E61" display="https://spb.hh.ru/vacancies/veduschij-meropriyatij" r:id="rId64"/>
    <hyperlink xmlns:r="http://schemas.openxmlformats.org/officeDocument/2006/relationships" ref="E62" display="https://sankt-peterburg-region.jobfilter.ru/" r:id="rId65"/>
    <hyperlink xmlns:r="http://schemas.openxmlformats.org/officeDocument/2006/relationships" ref="E63" display="https://sankt-peterburg.gorodrabot.ru/" r:id="rId66"/>
    <hyperlink xmlns:r="http://schemas.openxmlformats.org/officeDocument/2006/relationships" ref="E64" display="https://spb.superjob.ru/vakansii/menedzher-proekta.html" r:id="rId67"/>
    <hyperlink xmlns:r="http://schemas.openxmlformats.org/officeDocument/2006/relationships" ref="E65" display="https://spb.zarplata.ru/vacancies" r:id="rId68"/>
    <hyperlink xmlns:r="http://schemas.openxmlformats.org/officeDocument/2006/relationships" ref="E66" display="https://spb.zarplata.ru/vacancies/menedzher-po-privlecheniyu-partnerov" r:id="rId69"/>
    <hyperlink xmlns:r="http://schemas.openxmlformats.org/officeDocument/2006/relationships" ref="E67" display="https://petroconcert.spb.ru/vac" r:id="rId70"/>
    <hyperlink xmlns:r="http://schemas.openxmlformats.org/officeDocument/2006/relationships" ref="E68" display="https://spb.hh.ru/vacancies/organizator-meropriyatij" r:id="rId71"/>
    <hyperlink xmlns:r="http://schemas.openxmlformats.org/officeDocument/2006/relationships" ref="E69" display="https://spb.hh.ru/vacancies/organizator-meropriyatij" r:id="rId72"/>
    <hyperlink xmlns:r="http://schemas.openxmlformats.org/officeDocument/2006/relationships" ref="E70" display="https://spb.hh.ru/vacancies/organizator-meropriyatij" r:id="rId73"/>
    <hyperlink xmlns:r="http://schemas.openxmlformats.org/officeDocument/2006/relationships" ref="E71" display="https://spb.hh.ru/vacancies/organizator-meropriyatij" r:id="rId74"/>
    <hyperlink xmlns:r="http://schemas.openxmlformats.org/officeDocument/2006/relationships" ref="E72" display="https://spb.hh.ru/vacancies/veduschij-meropriyatij" r:id="rId75"/>
    <hyperlink xmlns:r="http://schemas.openxmlformats.org/officeDocument/2006/relationships" ref="E73" display="https://sankt-peterburg-region.jobfilter.ru/" r:id="rId76"/>
    <hyperlink xmlns:r="http://schemas.openxmlformats.org/officeDocument/2006/relationships" ref="E74" display="https://spb.hh.ru/vacancies/" r:id="rId77"/>
    <hyperlink xmlns:r="http://schemas.openxmlformats.org/officeDocument/2006/relationships" ref="E75" display="https://gderabota.ru/" r:id="rId78"/>
    <hyperlink xmlns:r="http://schemas.openxmlformats.org/officeDocument/2006/relationships" ref="E76" display="https://spb.hh.ru/vacancies/veduschij-meropriyatij" r:id="rId79"/>
    <hyperlink xmlns:r="http://schemas.openxmlformats.org/officeDocument/2006/relationships" ref="E77" display="https://www.domkadrov.ru/" r:id="rId80"/>
    <hyperlink xmlns:r="http://schemas.openxmlformats.org/officeDocument/2006/relationships" ref="E78" display="https://spb.careerist.ru/jobs-menedzher-po-organizatsii-meropriyatiy/" r:id="rId81"/>
    <hyperlink xmlns:r="http://schemas.openxmlformats.org/officeDocument/2006/relationships" ref="E79" display="https://spb.careerist.ru/jobs-menedzher-po-organizatsii-meropriyatiy/" r:id="rId82"/>
    <hyperlink xmlns:r="http://schemas.openxmlformats.org/officeDocument/2006/relationships" ref="E80" display="https://sankt-peterburg-region.jobfilter.ru/" r:id="rId83"/>
    <hyperlink xmlns:r="http://schemas.openxmlformats.org/officeDocument/2006/relationships" ref="E81" display="https://spb.superjob.ru/vakansii/menedzher-event.html" r:id="rId84"/>
    <hyperlink xmlns:r="http://schemas.openxmlformats.org/officeDocument/2006/relationships" ref="E82" display="https://spb.superjob.ru/vakansii/menedzher-event.html" r:id="rId85"/>
    <hyperlink xmlns:r="http://schemas.openxmlformats.org/officeDocument/2006/relationships" ref="E83" display="https://spb.careerist.ru/jobs-event-menedzher/" r:id="rId86"/>
    <hyperlink xmlns:r="http://schemas.openxmlformats.org/officeDocument/2006/relationships" ref="E84" display="https://spb.careerist.ru/jobs-event-menedzher/" r:id="rId87"/>
    <hyperlink xmlns:r="http://schemas.openxmlformats.org/officeDocument/2006/relationships" ref="E85" display="https://spb.hh.ru/vacancies/organizator-meropriyatij" r:id="rId88"/>
    <hyperlink xmlns:r="http://schemas.openxmlformats.org/officeDocument/2006/relationships" ref="E86" display="https://spb.hh.ru/vacancies/organizator-meropriyatij" r:id="rId89"/>
    <hyperlink xmlns:r="http://schemas.openxmlformats.org/officeDocument/2006/relationships" ref="E87" display="https://spb.hh.ru/vacancies/veduschij-meropriyatij" r:id="rId90"/>
    <hyperlink xmlns:r="http://schemas.openxmlformats.org/officeDocument/2006/relationships" ref="E88" display="https://spb.zarplata.ru/vacancies/menedzher-po-organizatsii-vystavok" r:id="rId91"/>
    <hyperlink xmlns:r="http://schemas.openxmlformats.org/officeDocument/2006/relationships" ref="E89" display="https://sankt-peterburg.trud.com/jobs/organizator_vystavok/" r:id="rId92"/>
    <hyperlink xmlns:r="http://schemas.openxmlformats.org/officeDocument/2006/relationships" ref="E90" display="https://ru.indeed.com/" r:id="rId93"/>
    <hyperlink xmlns:r="http://schemas.openxmlformats.org/officeDocument/2006/relationships" ref="E91" display="https://spb.hh.ru/vacancies/menedzher_po_turizm" r:id="rId94"/>
    <hyperlink xmlns:r="http://schemas.openxmlformats.org/officeDocument/2006/relationships" ref="E92" display="https://spb.hh.ru/vacancies/organizator-meropriyatij" r:id="rId95"/>
    <hyperlink xmlns:r="http://schemas.openxmlformats.org/officeDocument/2006/relationships" ref="E93" display="https://spb.hh.ru/employer/11036419" r:id="rId96"/>
    <hyperlink xmlns:r="http://schemas.openxmlformats.org/officeDocument/2006/relationships" ref="E94" display="https://spb.hh.ru/vacancies/organizator-meropriyatij" r:id="rId97"/>
    <hyperlink xmlns:r="http://schemas.openxmlformats.org/officeDocument/2006/relationships" ref="E95" display="https://spb.hh.ru/vacancies/organizator-meropriyatij" r:id="rId98"/>
    <hyperlink xmlns:r="http://schemas.openxmlformats.org/officeDocument/2006/relationships" ref="E96" display="https://spb.hh.ru/vacancies/organizator-meropriyatij" r:id="rId99"/>
    <hyperlink xmlns:r="http://schemas.openxmlformats.org/officeDocument/2006/relationships" ref="E97" display="https://sankt-peterburg.gorodrabot.ru/" r:id="rId100"/>
    <hyperlink xmlns:r="http://schemas.openxmlformats.org/officeDocument/2006/relationships" ref="E98" display="https://spb.hh.ru/vacancies/btl_menedzher/polniy_den" r:id="rId101"/>
    <hyperlink xmlns:r="http://schemas.openxmlformats.org/officeDocument/2006/relationships" ref="E99" display="https://spb.careerist.ru/jobs-koordinator-proektov/" r:id="rId102"/>
    <hyperlink xmlns:r="http://schemas.openxmlformats.org/officeDocument/2006/relationships" ref="E100" display="https://spb.hh.ru/vacancies/production_manager" r:id="rId103"/>
    <hyperlink xmlns:r="http://schemas.openxmlformats.org/officeDocument/2006/relationships" ref="E101" display="https://spb.hh.ru/vacancies/veduschij-meropriyatij" r:id="rId104"/>
    <hyperlink xmlns:r="http://schemas.openxmlformats.org/officeDocument/2006/relationships" ref="E107" display="https://hh.ru/vacancy/138136549" r:id="rId105"/>
    <hyperlink xmlns:r="http://schemas.openxmlformats.org/officeDocument/2006/relationships" ref="E108" display="https://hh.ru/vacancy/137589194" r:id="rId106"/>
    <hyperlink xmlns:r="http://schemas.openxmlformats.org/officeDocument/2006/relationships" ref="E109" display="https://hh.ru/vacancy/137100238" r:id="rId107"/>
    <hyperlink xmlns:r="http://schemas.openxmlformats.org/officeDocument/2006/relationships" ref="E110" display="https://hh.ru/vacancy/137174452" r:id="rId108"/>
    <hyperlink xmlns:r="http://schemas.openxmlformats.org/officeDocument/2006/relationships" ref="E111" display="https://spb.hh.ru/vacancies/veduschij-meropriyatij" r:id="rId109"/>
    <hyperlink xmlns:r="http://schemas.openxmlformats.org/officeDocument/2006/relationships" ref="E112" display="https://spb.hh.ru/vacancies/menedzher_po_organizacii_meropriyatiy" r:id="rId110"/>
    <hyperlink xmlns:r="http://schemas.openxmlformats.org/officeDocument/2006/relationships" ref="E113" display="https://spb.hh.ru/vacancies/menedzher_po_organizacii_meropriyatiy" r:id="rId111"/>
    <hyperlink xmlns:r="http://schemas.openxmlformats.org/officeDocument/2006/relationships" ref="E114" display="https://spb.hh.ru/vacancies/veduschij-meropriyatij" r:id="rId112"/>
    <hyperlink xmlns:r="http://schemas.openxmlformats.org/officeDocument/2006/relationships" ref="E115" display="https://spb.careerist.ru/jobs-menedzher-po-organizatsii-meropriyatiy/" r:id="rId113"/>
    <hyperlink xmlns:r="http://schemas.openxmlformats.org/officeDocument/2006/relationships" ref="E116" display="https://spb.careerist.ru/jobs-project-manager/" r:id="rId11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5" min="1" max="2"/>
    <col width="30" customWidth="1" style="25" min="3" max="3"/>
  </cols>
  <sheetData>
    <row r="1" ht="15" customHeight="1" s="26">
      <c r="A1" s="28" t="inlineStr">
        <is>
          <t>Компания</t>
        </is>
      </c>
      <c r="B1" s="28" t="inlineStr">
        <is>
          <t>Должность</t>
        </is>
      </c>
      <c r="C1" s="28" t="inlineStr">
        <is>
          <t>Причина</t>
        </is>
      </c>
    </row>
    <row r="2" ht="15" customHeight="1" s="26">
      <c r="A2" s="32" t="inlineStr">
        <is>
          <t>MazaPark</t>
        </is>
      </c>
      <c r="B2" s="32" t="inlineStr">
        <is>
          <t>Менеджер по продажам банкетов</t>
        </is>
      </c>
      <c r="C2" s="32" t="inlineStr">
        <is>
          <t>Продажи</t>
        </is>
      </c>
    </row>
    <row r="3" ht="15" customHeight="1" s="26">
      <c r="A3" s="32" t="inlineStr">
        <is>
          <t>BIS-QUIT</t>
        </is>
      </c>
      <c r="B3" s="32" t="inlineStr">
        <is>
          <t>Event-менеджер (по факту букинг-продажи)</t>
        </is>
      </c>
      <c r="C3" s="32" t="inlineStr">
        <is>
          <t>Продажи</t>
        </is>
      </c>
    </row>
    <row r="4" ht="15" customHeight="1" s="26">
      <c r="A4" s="32" t="inlineStr">
        <is>
          <t>Дэддис</t>
        </is>
      </c>
      <c r="B4" s="32" t="inlineStr">
        <is>
          <t>Банкетный менеджер (агент за %)</t>
        </is>
      </c>
      <c r="C4" s="32" t="inlineStr">
        <is>
          <t>Продажи</t>
        </is>
      </c>
    </row>
    <row r="5" ht="15" customHeight="1" s="26">
      <c r="A5" s="32" t="inlineStr">
        <is>
          <t>АйСиэФ Групп</t>
        </is>
      </c>
      <c r="B5" s="32" t="inlineStr">
        <is>
          <t>Привлечение спикеров</t>
        </is>
      </c>
      <c r="C5" s="32" t="inlineStr">
        <is>
          <t>Нет Б1/Б2/Б4</t>
        </is>
      </c>
    </row>
    <row r="6" ht="15" customHeight="1" s="26">
      <c r="A6" s="32" t="inlineStr">
        <is>
          <t>КидБург</t>
        </is>
      </c>
      <c r="B6" s="32" t="inlineStr">
        <is>
          <t>Менеджер площадки</t>
        </is>
      </c>
      <c r="C6" s="32" t="inlineStr">
        <is>
          <t>Нет Б1/Б2/Б4</t>
        </is>
      </c>
    </row>
    <row r="7" ht="15" customHeight="1" s="26">
      <c r="A7" s="32" t="inlineStr">
        <is>
          <t>СПбУТУиЭ</t>
        </is>
      </c>
      <c r="B7" s="32" t="inlineStr">
        <is>
          <t>Спец. профориентационных мероприятий</t>
        </is>
      </c>
      <c r="C7" s="32" t="inlineStr">
        <is>
          <t>Ниже порога</t>
        </is>
      </c>
    </row>
    <row r="8" ht="15" customHeight="1" s="26">
      <c r="A8" s="32" t="inlineStr">
        <is>
          <t>IKON TYRES</t>
        </is>
      </c>
      <c r="B8" s="32" t="inlineStr">
        <is>
          <t>Эксперт по внутр. коммуникациям</t>
        </is>
      </c>
      <c r="C8" s="32" t="inlineStr">
        <is>
          <t>3–6 лет, &lt;5 блоков</t>
        </is>
      </c>
    </row>
    <row r="9" ht="15" customHeight="1" s="26">
      <c r="A9" s="32" t="inlineStr">
        <is>
          <t>Современные Технологии Газовых Турбин</t>
        </is>
      </c>
      <c r="B9" s="32" t="inlineStr">
        <is>
          <t>Спец. по протокольным мероприятиям</t>
        </is>
      </c>
      <c r="C9" s="32" t="inlineStr">
        <is>
          <t>Опыт &gt;6 лет</t>
        </is>
      </c>
    </row>
    <row r="10" ht="15" customHeight="1" s="26">
      <c r="A10" s="32" t="inlineStr">
        <is>
          <t>GASTROLI</t>
        </is>
      </c>
      <c r="B10" s="32" t="inlineStr">
        <is>
          <t>Организатор мероприятий</t>
        </is>
      </c>
      <c r="C10" s="32" t="inlineStr">
        <is>
          <t>Текст скрыт</t>
        </is>
      </c>
    </row>
    <row r="11" ht="15" customHeight="1" s="26">
      <c r="A11" s="32" t="inlineStr">
        <is>
          <t>Эксикон</t>
        </is>
      </c>
      <c r="B11" s="32" t="inlineStr">
        <is>
          <t>Координатор онлайн-мероприятий</t>
        </is>
      </c>
      <c r="C11" s="32" t="inlineStr">
        <is>
          <t>Нет Б1/Б2/Б4</t>
        </is>
      </c>
    </row>
    <row r="12" ht="15" customHeight="1" s="26">
      <c r="A12" s="32" t="inlineStr">
        <is>
          <t>Орсо Груп</t>
        </is>
      </c>
      <c r="B12" s="32" t="inlineStr">
        <is>
          <t>Менеджер на выставку</t>
        </is>
      </c>
      <c r="C12" s="32" t="inlineStr">
        <is>
          <t>Продажи</t>
        </is>
      </c>
    </row>
    <row r="13" ht="15" customHeight="1" s="26">
      <c r="A13" s="32" t="inlineStr">
        <is>
          <t>СканТур</t>
        </is>
      </c>
      <c r="B13" s="32" t="inlineStr">
        <is>
          <t>Корпоративные продажи MICE</t>
        </is>
      </c>
      <c r="C13" s="32" t="inlineStr">
        <is>
          <t>Продажи</t>
        </is>
      </c>
    </row>
    <row r="14" ht="15" customHeight="1" s="26">
      <c r="A14" s="32" t="inlineStr">
        <is>
          <t>ON Медиа</t>
        </is>
      </c>
      <c r="B14" s="32" t="inlineStr">
        <is>
          <t>Работа с организаторами (билеты)</t>
        </is>
      </c>
      <c r="C14" s="32" t="inlineStr">
        <is>
          <t>Продажи</t>
        </is>
      </c>
    </row>
    <row r="15" ht="15" customHeight="1" s="26">
      <c r="A15" s="32" t="inlineStr">
        <is>
          <t>Мотиватор</t>
        </is>
      </c>
      <c r="B15" s="32" t="inlineStr">
        <is>
          <t>Промопродукция</t>
        </is>
      </c>
      <c r="C15" s="32" t="inlineStr">
        <is>
          <t>Продажи</t>
        </is>
      </c>
    </row>
    <row r="16" ht="15" customHeight="1" s="26">
      <c r="A16" s="32" t="inlineStr">
        <is>
          <t>Газпром Арена / Кейтеринг и Питание</t>
        </is>
      </c>
      <c r="B16" s="32" t="inlineStr">
        <is>
          <t>Стюарды, массовый кейтеринг</t>
        </is>
      </c>
      <c r="C16" s="32" t="inlineStr">
        <is>
          <t>Не организация мероприятий</t>
        </is>
      </c>
    </row>
    <row r="17" ht="15" customHeight="1" s="26">
      <c r="A17" s="32" t="inlineStr">
        <is>
          <t>ПМЦ «Калининский», «Невский», Василеостровский; ДМ «Колпинец»</t>
        </is>
      </c>
      <c r="B17" s="32" t="inlineStr">
        <is>
          <t>Соцработа, фитнес, звук</t>
        </is>
      </c>
      <c r="C17" s="32" t="inlineStr">
        <is>
          <t>Нет event-функционала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2026-10-06T16:47:19Z</dcterms:created>
  <dcterms:modified xmlns:dcterms="http://purl.org/dc/terms/" xmlns:xsi="http://www.w3.org/2001/XMLSchema-instance" xsi:type="dcterms:W3CDTF">2026-10-06T17:52:25Z</dcterms:modified>
  <cp:revision>0</cp:revision>
</cp:coreProperties>
</file>